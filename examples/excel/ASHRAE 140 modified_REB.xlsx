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01 진행과제\(부동산원) GR정성평가 2차년도\24 송신자료\260831 Excel 입력포맷 수정\"/>
    </mc:Choice>
  </mc:AlternateContent>
  <xr:revisionPtr revIDLastSave="0" documentId="13_ncr:1_{A3EE7CE1-63B6-46C3-9D68-F89FBADB957C}" xr6:coauthVersionLast="47" xr6:coauthVersionMax="47" xr10:uidLastSave="{00000000-0000-0000-0000-000000000000}"/>
  <bookViews>
    <workbookView xWindow="-120" yWindow="-120" windowWidth="38640" windowHeight="21120" xr2:uid="{B55EE291-4947-4D76-9C56-955B0CD270CB}"/>
  </bookViews>
  <sheets>
    <sheet name="건물정보" sheetId="1" r:id="rId1"/>
    <sheet name="실" sheetId="2" r:id="rId2"/>
    <sheet name="면" sheetId="3" r:id="rId3"/>
    <sheet name="개구부" sheetId="4" r:id="rId4"/>
    <sheet name="구조체_면" sheetId="5" r:id="rId5"/>
    <sheet name="구조체_개구부" sheetId="6" r:id="rId6"/>
    <sheet name="용도프로필" sheetId="18" r:id="rId7"/>
    <sheet name="공급설비" sheetId="8" r:id="rId8"/>
    <sheet name="생산설비" sheetId="9" r:id="rId9"/>
    <sheet name="환기설비" sheetId="10" r:id="rId10"/>
    <sheet name="PV패널" sheetId="11" r:id="rId11"/>
    <sheet name="재료" sheetId="7" r:id="rId12"/>
    <sheet name="참조" sheetId="12" r:id="rId13"/>
    <sheet name="용도프로필 참조DB" sheetId="14" state="hidden" r:id="rId14"/>
    <sheet name="행정구역DB" sheetId="15" state="hidden" r:id="rId15"/>
    <sheet name="열관류율DB" sheetId="16" state="hidden" r:id="rId16"/>
    <sheet name="용도프로필DB" sheetId="17" state="hidden" r:id="rId17"/>
  </sheets>
  <definedNames>
    <definedName name="_xlnm._FilterDatabase" localSheetId="10" hidden="1">PV패널!$B$2:$F$2</definedName>
    <definedName name="_xlnm._FilterDatabase" localSheetId="3" hidden="1">개구부!$B$2:$G$2</definedName>
    <definedName name="_xlnm._FilterDatabase" localSheetId="7" hidden="1">공급설비!$B$2:$I$2</definedName>
    <definedName name="_xlnm._FilterDatabase" localSheetId="5" hidden="1">구조체_개구부!$B$2:$E$2</definedName>
    <definedName name="_xlnm._FilterDatabase" localSheetId="2" hidden="1">면!$B$2:$M$400</definedName>
    <definedName name="_xlnm._FilterDatabase" localSheetId="1" hidden="1">실!$B$2:$L$81</definedName>
    <definedName name="_xlnm._FilterDatabase" localSheetId="9" hidden="1">환기설비!$B$2:$G$2</definedName>
    <definedName name="공급설비_이름목록">OFFSET(공급설비!$B$3,0,0,COUNTA(공급설비!$B:$B)-1,1)</definedName>
    <definedName name="구조체_개구부_이름목록">OFFSET(구조체_개구부!$B$3,0,0,COUNTA(구조체_개구부!$B:$B)-1,1)</definedName>
    <definedName name="구조체_면_이름목록">OFFSET(구조체_면!$B$3,0,0,COUNTA(구조체_면!$B:$B)-1,1)</definedName>
    <definedName name="면_이름목록">OFFSET(면!$B$3,0,0,COUNTA(면!$B:$B)-1,1)</definedName>
    <definedName name="생산설비_이름목록">OFFSET(생산설비!$B$3,0,0,COUNTA(생산설비!$B:$B)-1,1)</definedName>
    <definedName name="실_이름목록">OFFSET(실!$D$3,0,0,COUNTA(실!$D:$D)-1,1)</definedName>
    <definedName name="외기벽_이름목록">OFFSET(참조!$U$2,0,0,COUNTA(참조!$U$2:$U$301),1)</definedName>
    <definedName name="용도프로필_목록">OFFSET('용도프로필 참조DB'!$A$2,0,0,COUNTA('용도프로필 참조DB'!$A:$A)-1,1)</definedName>
    <definedName name="재료_이름목록">OFFSET(재료!$B$3,0,0,COUNTA(재료!$B:$B)-1,1)</definedName>
    <definedName name="현장조사프로필_이름목록">OFFSET(참조!#REF!,0,0,COUNTA(참조!#REF!)-1,1)</definedName>
    <definedName name="환기설비_이름목록">OFFSET(환기설비!$B$3,0,0,COUNTA(환기설비!$B:$B)-1,1)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2" l="1" a="1"/>
  <c r="J16" i="2" s="1"/>
  <c r="I16" i="2"/>
  <c r="I16" i="2" a="1"/>
  <c r="H16" i="2" a="1"/>
  <c r="H16" i="2" s="1"/>
  <c r="J15" i="2" a="1"/>
  <c r="J15" i="2" s="1"/>
  <c r="I15" i="2" a="1"/>
  <c r="I15" i="2" s="1"/>
  <c r="H15" i="2" a="1"/>
  <c r="H15" i="2" s="1"/>
  <c r="J14" i="2" a="1"/>
  <c r="J14" i="2" s="1"/>
  <c r="I14" i="2" a="1"/>
  <c r="I14" i="2" s="1"/>
  <c r="H14" i="2" a="1"/>
  <c r="H14" i="2" s="1"/>
  <c r="J13" i="2" a="1"/>
  <c r="J13" i="2" s="1"/>
  <c r="I13" i="2" a="1"/>
  <c r="I13" i="2" s="1"/>
  <c r="H13" i="2" a="1"/>
  <c r="H13" i="2" s="1"/>
  <c r="J12" i="2" a="1"/>
  <c r="J12" i="2" s="1"/>
  <c r="I12" i="2" a="1"/>
  <c r="I12" i="2" s="1"/>
  <c r="H12" i="2" a="1"/>
  <c r="H12" i="2" s="1"/>
  <c r="J11" i="2" a="1"/>
  <c r="J11" i="2" s="1"/>
  <c r="I11" i="2" a="1"/>
  <c r="I11" i="2" s="1"/>
  <c r="H11" i="2"/>
  <c r="H11" i="2" a="1"/>
  <c r="J10" i="2" a="1"/>
  <c r="J10" i="2" s="1"/>
  <c r="I10" i="2" a="1"/>
  <c r="I10" i="2" s="1"/>
  <c r="H10" i="2" a="1"/>
  <c r="H10" i="2" s="1"/>
  <c r="J9" i="2" a="1"/>
  <c r="J9" i="2" s="1"/>
  <c r="I9" i="2" a="1"/>
  <c r="I9" i="2" s="1"/>
  <c r="H9" i="2" a="1"/>
  <c r="H9" i="2" s="1"/>
  <c r="J8" i="2" a="1"/>
  <c r="J8" i="2" s="1"/>
  <c r="I8" i="2"/>
  <c r="I8" i="2" a="1"/>
  <c r="H8" i="2" a="1"/>
  <c r="H8" i="2" s="1"/>
  <c r="J7" i="2" a="1"/>
  <c r="J7" i="2" s="1"/>
  <c r="I7" i="2" a="1"/>
  <c r="I7" i="2" s="1"/>
  <c r="H7" i="2" a="1"/>
  <c r="H7" i="2" s="1"/>
  <c r="J6" i="2" a="1"/>
  <c r="J6" i="2" s="1"/>
  <c r="I6" i="2" a="1"/>
  <c r="I6" i="2" s="1"/>
  <c r="H6" i="2" a="1"/>
  <c r="H6" i="2" s="1"/>
  <c r="J5" i="2" a="1"/>
  <c r="J5" i="2" s="1"/>
  <c r="I5" i="2" a="1"/>
  <c r="I5" i="2" s="1"/>
  <c r="H5" i="2" a="1"/>
  <c r="H5" i="2" s="1"/>
  <c r="J4" i="2" a="1"/>
  <c r="J4" i="2" s="1"/>
  <c r="I4" i="2" a="1"/>
  <c r="I4" i="2" s="1"/>
  <c r="H4" i="2" a="1"/>
  <c r="H4" i="2" s="1"/>
  <c r="J3" i="2" a="1"/>
  <c r="J3" i="2" s="1"/>
  <c r="I3" i="2" a="1"/>
  <c r="I3" i="2" s="1"/>
  <c r="H3" i="2" a="1"/>
  <c r="H3" i="2" s="1"/>
  <c r="K18" i="3" l="1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P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/>
  <c r="L156" i="3"/>
  <c r="M156" i="3"/>
  <c r="L157" i="3"/>
  <c r="M157" i="3"/>
  <c r="L158" i="3"/>
  <c r="M158" i="3"/>
  <c r="L159" i="3"/>
  <c r="M159" i="3"/>
  <c r="L160" i="3"/>
  <c r="M160" i="3"/>
  <c r="L161" i="3"/>
  <c r="M161" i="3"/>
  <c r="L162" i="3"/>
  <c r="M162" i="3"/>
  <c r="L163" i="3"/>
  <c r="M163" i="3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/>
  <c r="L172" i="3"/>
  <c r="M172" i="3"/>
  <c r="L173" i="3"/>
  <c r="M173" i="3"/>
  <c r="L174" i="3"/>
  <c r="M174" i="3"/>
  <c r="L175" i="3"/>
  <c r="M175" i="3"/>
  <c r="L176" i="3"/>
  <c r="M176" i="3"/>
  <c r="L177" i="3"/>
  <c r="M177" i="3"/>
  <c r="L178" i="3"/>
  <c r="M178" i="3"/>
  <c r="L179" i="3"/>
  <c r="M179" i="3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/>
  <c r="L188" i="3"/>
  <c r="M188" i="3"/>
  <c r="L189" i="3"/>
  <c r="M189" i="3"/>
  <c r="L190" i="3"/>
  <c r="M190" i="3"/>
  <c r="L191" i="3"/>
  <c r="M191" i="3"/>
  <c r="L192" i="3"/>
  <c r="M192" i="3"/>
  <c r="L193" i="3"/>
  <c r="M193" i="3"/>
  <c r="L194" i="3"/>
  <c r="M194" i="3"/>
  <c r="L195" i="3"/>
  <c r="M195" i="3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/>
  <c r="L204" i="3"/>
  <c r="M204" i="3"/>
  <c r="L205" i="3"/>
  <c r="M205" i="3"/>
  <c r="L206" i="3"/>
  <c r="M206" i="3"/>
  <c r="L207" i="3"/>
  <c r="M207" i="3"/>
  <c r="L208" i="3"/>
  <c r="M208" i="3"/>
  <c r="L209" i="3"/>
  <c r="M209" i="3"/>
  <c r="L210" i="3"/>
  <c r="M210" i="3"/>
  <c r="L211" i="3"/>
  <c r="M211" i="3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/>
  <c r="L220" i="3"/>
  <c r="M220" i="3"/>
  <c r="L221" i="3"/>
  <c r="M221" i="3"/>
  <c r="L222" i="3"/>
  <c r="M222" i="3"/>
  <c r="L223" i="3"/>
  <c r="M223" i="3"/>
  <c r="L224" i="3"/>
  <c r="M224" i="3"/>
  <c r="L225" i="3"/>
  <c r="M225" i="3"/>
  <c r="L226" i="3"/>
  <c r="M226" i="3"/>
  <c r="L227" i="3"/>
  <c r="M227" i="3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/>
  <c r="L243" i="3"/>
  <c r="M243" i="3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/>
  <c r="L268" i="3"/>
  <c r="M268" i="3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/>
  <c r="L284" i="3"/>
  <c r="M284" i="3"/>
  <c r="L285" i="3"/>
  <c r="M285" i="3"/>
  <c r="L286" i="3"/>
  <c r="M286" i="3"/>
  <c r="L287" i="3"/>
  <c r="M287" i="3"/>
  <c r="L288" i="3"/>
  <c r="M288" i="3"/>
  <c r="L289" i="3"/>
  <c r="M289" i="3"/>
  <c r="L290" i="3"/>
  <c r="M290" i="3"/>
  <c r="L291" i="3"/>
  <c r="M291" i="3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/>
  <c r="L300" i="3"/>
  <c r="M300" i="3"/>
  <c r="L301" i="3"/>
  <c r="M301" i="3"/>
  <c r="L302" i="3"/>
  <c r="M302" i="3"/>
  <c r="L303" i="3"/>
  <c r="M303" i="3"/>
  <c r="L304" i="3"/>
  <c r="M304" i="3"/>
  <c r="L305" i="3"/>
  <c r="M305" i="3"/>
  <c r="L306" i="3"/>
  <c r="M306" i="3"/>
  <c r="L307" i="3"/>
  <c r="M307" i="3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/>
  <c r="L316" i="3"/>
  <c r="M316" i="3"/>
  <c r="L317" i="3"/>
  <c r="M317" i="3"/>
  <c r="L318" i="3"/>
  <c r="M318" i="3"/>
  <c r="L319" i="3"/>
  <c r="M319" i="3"/>
  <c r="L320" i="3"/>
  <c r="M320" i="3"/>
  <c r="L321" i="3"/>
  <c r="M321" i="3"/>
  <c r="L322" i="3"/>
  <c r="M322" i="3"/>
  <c r="L323" i="3"/>
  <c r="M323" i="3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/>
  <c r="L332" i="3"/>
  <c r="M332" i="3"/>
  <c r="L333" i="3"/>
  <c r="M333" i="3"/>
  <c r="L334" i="3"/>
  <c r="M334" i="3"/>
  <c r="L335" i="3"/>
  <c r="M335" i="3"/>
  <c r="L336" i="3"/>
  <c r="M336" i="3"/>
  <c r="L337" i="3"/>
  <c r="M337" i="3"/>
  <c r="L338" i="3"/>
  <c r="M338" i="3"/>
  <c r="L339" i="3"/>
  <c r="M339" i="3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/>
  <c r="L348" i="3"/>
  <c r="M348" i="3"/>
  <c r="L349" i="3"/>
  <c r="M349" i="3"/>
  <c r="L350" i="3"/>
  <c r="M350" i="3"/>
  <c r="L351" i="3"/>
  <c r="M351" i="3"/>
  <c r="L352" i="3"/>
  <c r="M352" i="3"/>
  <c r="L353" i="3"/>
  <c r="M353" i="3"/>
  <c r="L354" i="3"/>
  <c r="M354" i="3"/>
  <c r="L355" i="3"/>
  <c r="M355" i="3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/>
  <c r="L371" i="3"/>
  <c r="M371" i="3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/>
  <c r="L396" i="3"/>
  <c r="M396" i="3"/>
  <c r="L397" i="3"/>
  <c r="M397" i="3"/>
  <c r="L398" i="3"/>
  <c r="M398" i="3"/>
  <c r="L399" i="3"/>
  <c r="M399" i="3"/>
  <c r="H39" i="2" a="1"/>
  <c r="H39" i="2" s="1"/>
  <c r="I39" i="2" a="1"/>
  <c r="I39" i="2" s="1"/>
  <c r="J39" i="2" a="1"/>
  <c r="J39" i="2" s="1"/>
  <c r="H40" i="2" a="1"/>
  <c r="H40" i="2" s="1"/>
  <c r="I40" i="2" a="1"/>
  <c r="I40" i="2" s="1"/>
  <c r="J40" i="2" a="1"/>
  <c r="J40" i="2" s="1"/>
  <c r="H41" i="2" a="1"/>
  <c r="H41" i="2" s="1"/>
  <c r="I41" i="2" a="1"/>
  <c r="I41" i="2" s="1"/>
  <c r="J41" i="2" a="1"/>
  <c r="J41" i="2" s="1"/>
  <c r="H42" i="2" a="1"/>
  <c r="H42" i="2" s="1"/>
  <c r="I42" i="2" a="1"/>
  <c r="I42" i="2"/>
  <c r="J42" i="2" a="1"/>
  <c r="J42" i="2" s="1"/>
  <c r="H43" i="2" a="1"/>
  <c r="H43" i="2" s="1"/>
  <c r="I43" i="2" a="1"/>
  <c r="I43" i="2" s="1"/>
  <c r="J43" i="2" a="1"/>
  <c r="J43" i="2"/>
  <c r="H44" i="2" a="1"/>
  <c r="H44" i="2"/>
  <c r="I44" i="2" a="1"/>
  <c r="I44" i="2" s="1"/>
  <c r="J44" i="2" a="1"/>
  <c r="J44" i="2" s="1"/>
  <c r="H45" i="2" a="1"/>
  <c r="H45" i="2" s="1"/>
  <c r="I45" i="2" a="1"/>
  <c r="I45" i="2" s="1"/>
  <c r="J45" i="2" a="1"/>
  <c r="J45" i="2" s="1"/>
  <c r="H46" i="2" a="1"/>
  <c r="H46" i="2" s="1"/>
  <c r="I46" i="2" a="1"/>
  <c r="I46" i="2" s="1"/>
  <c r="J46" i="2" a="1"/>
  <c r="J46" i="2" s="1"/>
  <c r="H47" i="2" a="1"/>
  <c r="H47" i="2" s="1"/>
  <c r="I47" i="2" a="1"/>
  <c r="I47" i="2" s="1"/>
  <c r="J47" i="2" a="1"/>
  <c r="J47" i="2" s="1"/>
  <c r="H48" i="2" a="1"/>
  <c r="H48" i="2"/>
  <c r="I48" i="2" a="1"/>
  <c r="I48" i="2" s="1"/>
  <c r="J48" i="2" a="1"/>
  <c r="J48" i="2" s="1"/>
  <c r="H49" i="2" a="1"/>
  <c r="H49" i="2" s="1"/>
  <c r="I49" i="2" a="1"/>
  <c r="I49" i="2" s="1"/>
  <c r="J49" i="2" a="1"/>
  <c r="J49" i="2" s="1"/>
  <c r="H50" i="2" a="1"/>
  <c r="H50" i="2" s="1"/>
  <c r="I50" i="2" a="1"/>
  <c r="I50" i="2" s="1"/>
  <c r="J50" i="2" a="1"/>
  <c r="J50" i="2" s="1"/>
  <c r="H51" i="2" a="1"/>
  <c r="H51" i="2"/>
  <c r="I51" i="2" a="1"/>
  <c r="I51" i="2" s="1"/>
  <c r="J51" i="2" a="1"/>
  <c r="J51" i="2" s="1"/>
  <c r="H52" i="2" a="1"/>
  <c r="H52" i="2" s="1"/>
  <c r="I52" i="2" a="1"/>
  <c r="I52" i="2" s="1"/>
  <c r="J52" i="2" a="1"/>
  <c r="J52" i="2" s="1"/>
  <c r="H53" i="2" a="1"/>
  <c r="H53" i="2" s="1"/>
  <c r="I53" i="2" a="1"/>
  <c r="I53" i="2" s="1"/>
  <c r="J53" i="2" a="1"/>
  <c r="J53" i="2" s="1"/>
  <c r="H54" i="2" a="1"/>
  <c r="H54" i="2" s="1"/>
  <c r="I54" i="2" a="1"/>
  <c r="I54" i="2" s="1"/>
  <c r="J54" i="2" a="1"/>
  <c r="J54" i="2"/>
  <c r="H55" i="2" a="1"/>
  <c r="H55" i="2" s="1"/>
  <c r="I55" i="2" a="1"/>
  <c r="I55" i="2" s="1"/>
  <c r="J55" i="2" a="1"/>
  <c r="J55" i="2" s="1"/>
  <c r="H56" i="2" a="1"/>
  <c r="H56" i="2" s="1"/>
  <c r="I56" i="2" a="1"/>
  <c r="I56" i="2" s="1"/>
  <c r="J56" i="2" a="1"/>
  <c r="J56" i="2" s="1"/>
  <c r="H57" i="2" a="1"/>
  <c r="H57" i="2" s="1"/>
  <c r="I57" i="2" a="1"/>
  <c r="I57" i="2" s="1"/>
  <c r="J57" i="2" a="1"/>
  <c r="J57" i="2" s="1"/>
  <c r="H58" i="2" a="1"/>
  <c r="H58" i="2" s="1"/>
  <c r="I58" i="2" a="1"/>
  <c r="I58" i="2"/>
  <c r="J58" i="2" a="1"/>
  <c r="J58" i="2"/>
  <c r="H59" i="2" a="1"/>
  <c r="H59" i="2" s="1"/>
  <c r="I59" i="2" a="1"/>
  <c r="I59" i="2" s="1"/>
  <c r="J59" i="2" a="1"/>
  <c r="J59" i="2" s="1"/>
  <c r="H60" i="2" a="1"/>
  <c r="H60" i="2"/>
  <c r="I60" i="2" a="1"/>
  <c r="I60" i="2" s="1"/>
  <c r="J60" i="2" a="1"/>
  <c r="J60" i="2" s="1"/>
  <c r="H61" i="2" a="1"/>
  <c r="H61" i="2" s="1"/>
  <c r="I61" i="2" a="1"/>
  <c r="I61" i="2" s="1"/>
  <c r="J61" i="2" a="1"/>
  <c r="J61" i="2"/>
  <c r="H62" i="2" a="1"/>
  <c r="H62" i="2" s="1"/>
  <c r="I62" i="2" a="1"/>
  <c r="I62" i="2" s="1"/>
  <c r="J62" i="2" a="1"/>
  <c r="J62" i="2"/>
  <c r="H63" i="2" a="1"/>
  <c r="H63" i="2"/>
  <c r="I63" i="2" a="1"/>
  <c r="I63" i="2" s="1"/>
  <c r="J63" i="2" a="1"/>
  <c r="J63" i="2" s="1"/>
  <c r="H64" i="2" a="1"/>
  <c r="H64" i="2" s="1"/>
  <c r="I64" i="2" a="1"/>
  <c r="I64" i="2" s="1"/>
  <c r="J64" i="2" a="1"/>
  <c r="J64" i="2" s="1"/>
  <c r="H65" i="2" a="1"/>
  <c r="H65" i="2"/>
  <c r="I65" i="2" a="1"/>
  <c r="I65" i="2" s="1"/>
  <c r="J65" i="2" a="1"/>
  <c r="J65" i="2" s="1"/>
  <c r="H66" i="2" a="1"/>
  <c r="H66" i="2" s="1"/>
  <c r="I66" i="2" a="1"/>
  <c r="I66" i="2" s="1"/>
  <c r="J66" i="2" a="1"/>
  <c r="J66" i="2" s="1"/>
  <c r="H67" i="2" a="1"/>
  <c r="H67" i="2" s="1"/>
  <c r="I67" i="2" a="1"/>
  <c r="I67" i="2" s="1"/>
  <c r="J67" i="2" a="1"/>
  <c r="J67" i="2" s="1"/>
  <c r="H68" i="2" a="1"/>
  <c r="H68" i="2"/>
  <c r="I68" i="2" a="1"/>
  <c r="I68" i="2"/>
  <c r="J68" i="2" a="1"/>
  <c r="J68" i="2" s="1"/>
  <c r="H69" i="2" a="1"/>
  <c r="H69" i="2"/>
  <c r="I69" i="2" a="1"/>
  <c r="I69" i="2" s="1"/>
  <c r="J69" i="2" a="1"/>
  <c r="J69" i="2" s="1"/>
  <c r="H70" i="2" a="1"/>
  <c r="H70" i="2"/>
  <c r="I70" i="2" a="1"/>
  <c r="I70" i="2" s="1"/>
  <c r="J70" i="2" a="1"/>
  <c r="J70" i="2" s="1"/>
  <c r="H71" i="2" a="1"/>
  <c r="H71" i="2" s="1"/>
  <c r="I71" i="2" a="1"/>
  <c r="I71" i="2" s="1"/>
  <c r="J71" i="2" a="1"/>
  <c r="J71" i="2" s="1"/>
  <c r="H72" i="2" a="1"/>
  <c r="H72" i="2" s="1"/>
  <c r="I72" i="2" a="1"/>
  <c r="I72" i="2" s="1"/>
  <c r="J72" i="2" a="1"/>
  <c r="J72" i="2" s="1"/>
  <c r="H73" i="2" a="1"/>
  <c r="H73" i="2" s="1"/>
  <c r="I73" i="2" a="1"/>
  <c r="I73" i="2" s="1"/>
  <c r="J73" i="2" a="1"/>
  <c r="J73" i="2"/>
  <c r="H74" i="2" a="1"/>
  <c r="H74" i="2" s="1"/>
  <c r="I74" i="2" a="1"/>
  <c r="I74" i="2" s="1"/>
  <c r="J74" i="2" a="1"/>
  <c r="J74" i="2" s="1"/>
  <c r="H75" i="2" a="1"/>
  <c r="H75" i="2" s="1"/>
  <c r="I75" i="2" a="1"/>
  <c r="I75" i="2"/>
  <c r="J75" i="2" a="1"/>
  <c r="J75" i="2"/>
  <c r="H76" i="2" a="1"/>
  <c r="H76" i="2" s="1"/>
  <c r="I76" i="2" a="1"/>
  <c r="I76" i="2" s="1"/>
  <c r="J76" i="2" a="1"/>
  <c r="J76" i="2" s="1"/>
  <c r="H77" i="2" a="1"/>
  <c r="H77" i="2" s="1"/>
  <c r="I77" i="2" a="1"/>
  <c r="I77" i="2" s="1"/>
  <c r="J77" i="2" a="1"/>
  <c r="J77" i="2"/>
  <c r="H78" i="2" a="1"/>
  <c r="H78" i="2" s="1"/>
  <c r="I78" i="2" a="1"/>
  <c r="I78" i="2" s="1"/>
  <c r="J78" i="2" a="1"/>
  <c r="J78" i="2" s="1"/>
  <c r="H79" i="2" a="1"/>
  <c r="H79" i="2"/>
  <c r="I79" i="2" a="1"/>
  <c r="I79" i="2" s="1"/>
  <c r="J79" i="2" a="1"/>
  <c r="J79" i="2"/>
  <c r="H80" i="2" a="1"/>
  <c r="H80" i="2" s="1"/>
  <c r="I80" i="2" a="1"/>
  <c r="I80" i="2"/>
  <c r="J80" i="2" a="1"/>
  <c r="J80" i="2" s="1"/>
  <c r="H81" i="2" a="1"/>
  <c r="H81" i="2" s="1"/>
  <c r="I81" i="2" a="1"/>
  <c r="I81" i="2"/>
  <c r="J81" i="2" a="1"/>
  <c r="J81" i="2" s="1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H3" i="1" a="1"/>
  <c r="H3" i="1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L3" i="3" l="1"/>
  <c r="M3" i="3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U2" i="12" a="1"/>
  <c r="U2" i="12" s="1"/>
  <c r="A2" i="14" a="1"/>
  <c r="A2" i="14" s="1"/>
  <c r="K19" i="3"/>
  <c r="K20" i="3"/>
  <c r="K21" i="3"/>
  <c r="K22" i="3"/>
  <c r="K23" i="3"/>
  <c r="K24" i="3"/>
  <c r="I17" i="2" a="1"/>
  <c r="I17" i="2" s="1"/>
  <c r="J17" i="2" a="1"/>
  <c r="J17" i="2" s="1"/>
  <c r="I18" i="2" a="1"/>
  <c r="I18" i="2" s="1"/>
  <c r="J18" i="2" a="1"/>
  <c r="J18" i="2" s="1"/>
  <c r="I19" i="2" a="1"/>
  <c r="I19" i="2" s="1"/>
  <c r="J19" i="2" a="1"/>
  <c r="J19" i="2" s="1"/>
  <c r="I20" i="2" a="1"/>
  <c r="I20" i="2" s="1"/>
  <c r="J20" i="2" a="1"/>
  <c r="J20" i="2" s="1"/>
  <c r="I21" i="2" a="1"/>
  <c r="I21" i="2" s="1"/>
  <c r="J21" i="2" a="1"/>
  <c r="J21" i="2" s="1"/>
  <c r="I22" i="2" a="1"/>
  <c r="I22" i="2" s="1"/>
  <c r="J22" i="2" a="1"/>
  <c r="J22" i="2" s="1"/>
  <c r="I23" i="2" a="1"/>
  <c r="I23" i="2" s="1"/>
  <c r="J23" i="2" a="1"/>
  <c r="J23" i="2" s="1"/>
  <c r="I24" i="2" a="1"/>
  <c r="I24" i="2" s="1"/>
  <c r="J24" i="2" a="1"/>
  <c r="J24" i="2" s="1"/>
  <c r="I25" i="2" a="1"/>
  <c r="I25" i="2" s="1"/>
  <c r="J25" i="2" a="1"/>
  <c r="J25" i="2" s="1"/>
  <c r="I26" i="2" a="1"/>
  <c r="I26" i="2" s="1"/>
  <c r="J26" i="2" a="1"/>
  <c r="J26" i="2" s="1"/>
  <c r="I27" i="2" a="1"/>
  <c r="I27" i="2" s="1"/>
  <c r="J27" i="2" a="1"/>
  <c r="J27" i="2" s="1"/>
  <c r="I28" i="2" a="1"/>
  <c r="I28" i="2" s="1"/>
  <c r="J28" i="2" a="1"/>
  <c r="J28" i="2" s="1"/>
  <c r="I29" i="2" a="1"/>
  <c r="I29" i="2" s="1"/>
  <c r="J29" i="2" a="1"/>
  <c r="J29" i="2" s="1"/>
  <c r="I30" i="2" a="1"/>
  <c r="I30" i="2" s="1"/>
  <c r="J30" i="2" a="1"/>
  <c r="J30" i="2" s="1"/>
  <c r="I31" i="2" a="1"/>
  <c r="I31" i="2" s="1"/>
  <c r="J31" i="2" a="1"/>
  <c r="J31" i="2" s="1"/>
  <c r="I32" i="2" a="1"/>
  <c r="I32" i="2" s="1"/>
  <c r="J32" i="2" a="1"/>
  <c r="J32" i="2" s="1"/>
  <c r="I33" i="2" a="1"/>
  <c r="I33" i="2" s="1"/>
  <c r="J33" i="2" a="1"/>
  <c r="J33" i="2" s="1"/>
  <c r="I34" i="2" a="1"/>
  <c r="I34" i="2" s="1"/>
  <c r="J34" i="2" a="1"/>
  <c r="J34" i="2" s="1"/>
  <c r="I35" i="2" a="1"/>
  <c r="I35" i="2" s="1"/>
  <c r="J35" i="2" a="1"/>
  <c r="J35" i="2" s="1"/>
  <c r="I36" i="2" a="1"/>
  <c r="I36" i="2" s="1"/>
  <c r="J36" i="2" a="1"/>
  <c r="J36" i="2" s="1"/>
  <c r="I37" i="2" a="1"/>
  <c r="I37" i="2" s="1"/>
  <c r="J37" i="2" a="1"/>
  <c r="J37" i="2" s="1"/>
  <c r="I38" i="2" a="1"/>
  <c r="I38" i="2" s="1"/>
  <c r="J38" i="2" a="1"/>
  <c r="J38" i="2" s="1"/>
  <c r="M400" i="3" l="1"/>
  <c r="L400" i="3"/>
  <c r="M28" i="3"/>
  <c r="L28" i="3"/>
  <c r="M27" i="3"/>
  <c r="L27" i="3"/>
  <c r="M26" i="3"/>
  <c r="L26" i="3"/>
  <c r="M25" i="3"/>
  <c r="L25" i="3"/>
  <c r="M24" i="3"/>
  <c r="L24" i="3"/>
  <c r="L11" i="2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L81" i="2"/>
  <c r="K81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<sst xmlns="http://schemas.openxmlformats.org/spreadsheetml/2006/main" count="7610" uniqueCount="613">
  <si>
    <t>건물명</t>
  </si>
  <si>
    <t>주소</t>
  </si>
  <si>
    <t>허가일자</t>
  </si>
  <si>
    <t>인천광역시 부평구</t>
  </si>
  <si>
    <t>필수입력</t>
  </si>
  <si>
    <t>optional</t>
  </si>
  <si>
    <t>입력불가</t>
  </si>
  <si>
    <t>층</t>
  </si>
  <si>
    <t>이름</t>
  </si>
  <si>
    <t>용도프로필</t>
  </si>
  <si>
    <t>조명밀도 [W/m2]</t>
  </si>
  <si>
    <t>침기율 [ACH@50]</t>
  </si>
  <si>
    <t>난방 공급 설비</t>
  </si>
  <si>
    <t>냉방 공급 설비</t>
  </si>
  <si>
    <t>환기 설비</t>
  </si>
  <si>
    <t xml:space="preserve">면 개수 </t>
  </si>
  <si>
    <t>바닥 면적 [m2]</t>
  </si>
  <si>
    <t>소규모사무실</t>
  </si>
  <si>
    <t>보일러</t>
  </si>
  <si>
    <t>창고/설비/문서실</t>
  </si>
  <si>
    <t>주방 및 조리실</t>
  </si>
  <si>
    <t>화장실</t>
  </si>
  <si>
    <t>부속공간</t>
  </si>
  <si>
    <t>교실(초중고)</t>
  </si>
  <si>
    <t>소속 실</t>
  </si>
  <si>
    <t>유형</t>
  </si>
  <si>
    <t>경계조건</t>
  </si>
  <si>
    <t>면적 [m2]</t>
  </si>
  <si>
    <t>향 [°]</t>
  </si>
  <si>
    <t>인접존 이름</t>
  </si>
  <si>
    <t>구조체 이름</t>
  </si>
  <si>
    <t>쿨루프 반사율 [%]</t>
  </si>
  <si>
    <t>창문 개수</t>
  </si>
  <si>
    <t>문 개수</t>
  </si>
  <si>
    <t>floor</t>
  </si>
  <si>
    <t>ground</t>
  </si>
  <si>
    <t>ceiling</t>
  </si>
  <si>
    <t>adiabatic</t>
  </si>
  <si>
    <t>outdoors</t>
  </si>
  <si>
    <t>wall</t>
  </si>
  <si>
    <t>zone</t>
  </si>
  <si>
    <t>소속 면</t>
  </si>
  <si>
    <t>블라인드</t>
  </si>
  <si>
    <t>door</t>
  </si>
  <si>
    <t>window</t>
  </si>
  <si>
    <t>레이어1_재료</t>
  </si>
  <si>
    <t>레이어1_두께 [mm]</t>
  </si>
  <si>
    <t>레이어2_재료</t>
  </si>
  <si>
    <t>레이어2_두께 [mm]</t>
  </si>
  <si>
    <t>레이어3_재료</t>
  </si>
  <si>
    <t>레이어3_두께 [mm]</t>
  </si>
  <si>
    <t>레이어4_재료</t>
  </si>
  <si>
    <t>레이어4_두께 [mm]</t>
  </si>
  <si>
    <t>레이어5_재료</t>
  </si>
  <si>
    <t>레이어5_두께 [mm]</t>
  </si>
  <si>
    <t>투명여부</t>
  </si>
  <si>
    <t>열관류율 [W/m2·K]</t>
  </si>
  <si>
    <t>태양열취득계수</t>
  </si>
  <si>
    <t>불투명</t>
  </si>
  <si>
    <t>투명</t>
  </si>
  <si>
    <t>열전도율 [W/m·K]</t>
  </si>
  <si>
    <t>밀도 [kg/m3]</t>
  </si>
  <si>
    <t>비열 [J/kg·K]</t>
  </si>
  <si>
    <t>시멘트벽돌</t>
  </si>
  <si>
    <t>내화벽돌</t>
  </si>
  <si>
    <t>타일</t>
  </si>
  <si>
    <t>콘크리트블록(경량)</t>
  </si>
  <si>
    <t>콘크리트블록(중량)</t>
  </si>
  <si>
    <t>대리석</t>
  </si>
  <si>
    <t>화강암</t>
  </si>
  <si>
    <t>천연슬레이트</t>
  </si>
  <si>
    <t>파티클보드</t>
  </si>
  <si>
    <t>석고보드</t>
  </si>
  <si>
    <t>목재(가벼움)</t>
  </si>
  <si>
    <t>목재(중간)</t>
  </si>
  <si>
    <t>목재(무거움)</t>
  </si>
  <si>
    <t>바닥재(아스팔트)</t>
  </si>
  <si>
    <t>아스팔트펠트17kg</t>
  </si>
  <si>
    <t>아스팔트펠트22kg</t>
  </si>
  <si>
    <t>아스팔트펠트26kg</t>
  </si>
  <si>
    <t>아스팔트루핑17kg</t>
  </si>
  <si>
    <t>아스팔트루핑22kg</t>
  </si>
  <si>
    <t>아스팔트루핑30kg</t>
  </si>
  <si>
    <t>콘크리트(1:2:4)</t>
  </si>
  <si>
    <t>기포콘크리트0.4품</t>
  </si>
  <si>
    <t>기포콘크리트0.5품</t>
  </si>
  <si>
    <t>기포콘크리트0.6품</t>
  </si>
  <si>
    <t>비드법보온판1종1호</t>
  </si>
  <si>
    <t>비드법보온판1종2호</t>
  </si>
  <si>
    <t>비드법보온판1종3호</t>
  </si>
  <si>
    <t>비드법보온판1종4호</t>
  </si>
  <si>
    <t>비드법보온판2종1호</t>
  </si>
  <si>
    <t>비드법보온판2종2호</t>
  </si>
  <si>
    <t>비드법보온판2종3호</t>
  </si>
  <si>
    <t>비드법보온판2종4호</t>
  </si>
  <si>
    <t>압출법보온판특호</t>
  </si>
  <si>
    <t>압출법보온판1호</t>
  </si>
  <si>
    <t>압출법보온판2호</t>
  </si>
  <si>
    <t>압출법보온판3호</t>
  </si>
  <si>
    <t>경질우레탄보온판1종1호</t>
  </si>
  <si>
    <t>경질우레탄보온판1종2호</t>
  </si>
  <si>
    <t>경질우레탄보온판1종3호</t>
  </si>
  <si>
    <t>경질우레탄보온판2종1호</t>
  </si>
  <si>
    <t>경질우레탄보온판2종2호</t>
  </si>
  <si>
    <t>경질우레탄보온판2종3호</t>
  </si>
  <si>
    <t>미네랄울보온판1호</t>
  </si>
  <si>
    <t>미네랄울보온판2호</t>
  </si>
  <si>
    <t>미네랄울보온판3호</t>
  </si>
  <si>
    <t>미네랄울펠트</t>
  </si>
  <si>
    <t>미네랄울보온대1호</t>
  </si>
  <si>
    <t>미네랄울보온대2호</t>
  </si>
  <si>
    <t>미네랄울보온통</t>
  </si>
  <si>
    <t>그라스울보온판24K</t>
  </si>
  <si>
    <t>그라스울보온판32K</t>
  </si>
  <si>
    <t>그라스울보온판40K</t>
  </si>
  <si>
    <t>그라스울보온판48K-120K</t>
  </si>
  <si>
    <t>그라스울보온통</t>
  </si>
  <si>
    <t>미네랄울</t>
  </si>
  <si>
    <t>미네랄울블랭킷1호a</t>
  </si>
  <si>
    <t>미네랄울블랭킷1호b</t>
  </si>
  <si>
    <t>미네랄울블랭킷2호</t>
  </si>
  <si>
    <t>그라스울</t>
  </si>
  <si>
    <t>그라스울보온대a</t>
  </si>
  <si>
    <t>그라스울보온대b</t>
  </si>
  <si>
    <t>그라스울보온대c</t>
  </si>
  <si>
    <t>그라스울블랭킷a</t>
  </si>
  <si>
    <t>그라스울블랭킷b</t>
  </si>
  <si>
    <t>동</t>
  </si>
  <si>
    <t>청동(75Cu,25Sn)</t>
  </si>
  <si>
    <t>황동(70CU,30Zn)</t>
  </si>
  <si>
    <t>알루미늄/합금</t>
  </si>
  <si>
    <t>강재</t>
  </si>
  <si>
    <t>납</t>
  </si>
  <si>
    <t>아연도철판</t>
  </si>
  <si>
    <t>스텐레스강</t>
  </si>
  <si>
    <t>냉방COP [W/W]</t>
  </si>
  <si>
    <t>냉방용량 [W]</t>
  </si>
  <si>
    <t>난방용량 [W]</t>
  </si>
  <si>
    <t>생산설비명</t>
  </si>
  <si>
    <t>바닥난방</t>
  </si>
  <si>
    <t>난방COP [W/W]</t>
  </si>
  <si>
    <t>효율 [%]</t>
  </si>
  <si>
    <t>급탕용</t>
  </si>
  <si>
    <t>연료종류</t>
  </si>
  <si>
    <t>압축기 종류</t>
  </si>
  <si>
    <t>냉각탑 종류</t>
  </si>
  <si>
    <t>냉각탑 용량 [W]</t>
  </si>
  <si>
    <t>냉각탑 제어방식</t>
  </si>
  <si>
    <t>연동보일러 효율 [%]</t>
  </si>
  <si>
    <t>난방효율 [%]</t>
  </si>
  <si>
    <t>냉방효율 [%]</t>
  </si>
  <si>
    <t>면적</t>
  </si>
  <si>
    <t>방위각 [°]</t>
  </si>
  <si>
    <t>경사각 [°]</t>
  </si>
  <si>
    <t>surface_type</t>
  </si>
  <si>
    <t>boundary_cond</t>
  </si>
  <si>
    <t>transparent_type</t>
  </si>
  <si>
    <t xml:space="preserve"> 투명여부</t>
  </si>
  <si>
    <t>공급설비</t>
  </si>
  <si>
    <t>생산설비</t>
  </si>
  <si>
    <t>연료</t>
  </si>
  <si>
    <t>압축기_유형</t>
  </si>
  <si>
    <t>냉각탑</t>
  </si>
  <si>
    <t>냉각탑_제어</t>
  </si>
  <si>
    <t>binary</t>
  </si>
  <si>
    <t>주소지</t>
  </si>
  <si>
    <t>version</t>
  </si>
  <si>
    <t>주거공간</t>
  </si>
  <si>
    <t>패키지에어컨</t>
  </si>
  <si>
    <t>히트펌프</t>
  </si>
  <si>
    <t>전기</t>
  </si>
  <si>
    <t>터보식</t>
  </si>
  <si>
    <t>밀폐형</t>
  </si>
  <si>
    <t>single-speed</t>
  </si>
  <si>
    <t>강원특별자치도 강릉시</t>
  </si>
  <si>
    <t>glassdoor</t>
  </si>
  <si>
    <t>공조기</t>
  </si>
  <si>
    <t>지열히트펌프</t>
  </si>
  <si>
    <t>스크류식</t>
  </si>
  <si>
    <t>개방형</t>
  </si>
  <si>
    <t>two-speed</t>
  </si>
  <si>
    <t>강원특별자치도 고성군</t>
  </si>
  <si>
    <t>대규모사무실</t>
  </si>
  <si>
    <t>팬코일유닛</t>
  </si>
  <si>
    <t>냉동기</t>
  </si>
  <si>
    <t>난방유</t>
  </si>
  <si>
    <t>왕복동식</t>
  </si>
  <si>
    <t>강원특별자치도 동해시</t>
  </si>
  <si>
    <t>방열기</t>
  </si>
  <si>
    <t>흡수식냉동기</t>
  </si>
  <si>
    <t>지역난방</t>
  </si>
  <si>
    <t>강원특별자치도 삼척시</t>
  </si>
  <si>
    <t>강당</t>
  </si>
  <si>
    <t>전기방열기</t>
  </si>
  <si>
    <t>강원특별자치도 속초시</t>
  </si>
  <si>
    <t>구내식당</t>
  </si>
  <si>
    <t>강원특별자치도 양구군</t>
  </si>
  <si>
    <t>강원특별자치도 양양군</t>
  </si>
  <si>
    <t>그 외 체류공간</t>
  </si>
  <si>
    <t>강원특별자치도 영월군</t>
  </si>
  <si>
    <t>강원특별자치도 원주시</t>
  </si>
  <si>
    <t>강원특별자치도 인제군</t>
  </si>
  <si>
    <t>전산실</t>
  </si>
  <si>
    <t>강원특별자치도 정선군</t>
  </si>
  <si>
    <t>강원특별자치도 철원군</t>
  </si>
  <si>
    <t>병실</t>
  </si>
  <si>
    <t>강원특별자치도 춘천시</t>
  </si>
  <si>
    <t>객실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</si>
  <si>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</si>
  <si>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</si>
  <si>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</si>
  <si>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</si>
  <si>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</si>
  <si>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경기도 가평군</t>
  </si>
  <si>
    <t>체육시설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</si>
  <si>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</si>
  <si>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</si>
  <si>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</si>
  <si>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</si>
  <si>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</si>
  <si>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</si>
  <si>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</si>
  <si>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</si>
  <si>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</si>
  <si>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</si>
  <si>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</si>
  <si>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 소사구</t>
  </si>
  <si>
    <t>경기도 부천시 오정구</t>
  </si>
  <si>
    <t>경기도 부천시 원미구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</si>
  <si>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</si>
  <si>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</si>
  <si>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</si>
  <si>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</si>
  <si>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</si>
  <si>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</si>
  <si>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</si>
  <si>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시흥시</t>
  </si>
  <si>
    <t>경기도 안산시 단원구</t>
  </si>
  <si>
    <t>경기도 안산시 상록구</t>
  </si>
  <si>
    <t>경기도 안성시</t>
  </si>
  <si>
    <t>경기도 안양시 동안구</t>
  </si>
  <si>
    <t>경기도 안양시 만안구</t>
  </si>
  <si>
    <t>경기도 양주시</t>
  </si>
  <si>
    <t>경기도 양평군</t>
  </si>
  <si>
    <t>경기도 여주시</t>
  </si>
  <si>
    <t>경기도 연천군</t>
  </si>
  <si>
    <t>경기도 오산시</t>
  </si>
  <si>
    <t>경기도 용인시 기흥구</t>
  </si>
  <si>
    <t>경기도 용인시 수지구</t>
  </si>
  <si>
    <t>경기도 용인시 처인구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</si>
  <si>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</si>
  <si>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</si>
  <si>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</si>
  <si>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</si>
  <si>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</si>
  <si>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</si>
  <si>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</si>
  <si>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</si>
  <si>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</si>
  <si>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</si>
  <si>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</si>
  <si>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</si>
  <si>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</si>
  <si>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</si>
  <si>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</si>
  <si>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</si>
  <si>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</si>
  <si>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</si>
  <si>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</si>
  <si>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</si>
  <si>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창원시 마산합포구</t>
  </si>
  <si>
    <t>경상남도 창원시 마산회원구</t>
  </si>
  <si>
    <t>경상남도 창원시 성산구</t>
  </si>
  <si>
    <t>경상남도 창원시 의창구</t>
  </si>
  <si>
    <t>경상남도 창원시 진해구</t>
  </si>
  <si>
    <t>경상남도 통영시</t>
  </si>
  <si>
    <t>경상남도 하동군</t>
  </si>
  <si>
    <t>경상남도 함안군</t>
  </si>
  <si>
    <t>경상남도 함양군</t>
  </si>
  <si>
    <t>경상남도 합천군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</si>
  <si>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</si>
  <si>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</si>
  <si>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</si>
  <si>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</si>
  <si>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</si>
  <si>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</si>
  <si>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</si>
  <si>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</si>
  <si>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</si>
  <si>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</si>
  <si>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</si>
  <si>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</si>
  <si>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</si>
  <si>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</si>
  <si>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</si>
  <si>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</si>
  <si>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</si>
  <si>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</si>
  <si>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</si>
  <si>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</si>
  <si>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</si>
  <si>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 남구</t>
  </si>
  <si>
    <t>경상북도 포항시 북구</t>
  </si>
  <si>
    <t>광주광역시 광산구</t>
  </si>
  <si>
    <t>광주광역시 남구</t>
  </si>
  <si>
    <t>광주광역시 동구</t>
  </si>
  <si>
    <t>광주광역시 북구</t>
  </si>
  <si>
    <t>광주광역시 서구</t>
  </si>
  <si>
    <t>대구광역시 군위군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</si>
  <si>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</si>
  <si>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</si>
  <si>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</si>
  <si>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</si>
  <si>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</si>
  <si>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</si>
  <si>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</si>
  <si>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</si>
  <si>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</si>
  <si>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</si>
  <si>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</si>
  <si>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</si>
  <si>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</si>
  <si>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</si>
  <si>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</si>
  <si>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</si>
  <si>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</si>
  <si>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</si>
  <si>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</si>
  <si>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</si>
  <si>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</si>
  <si>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</si>
  <si>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</si>
  <si>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</si>
  <si>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</si>
  <si>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</si>
  <si>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</si>
  <si>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</si>
  <si>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</si>
  <si>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</si>
  <si>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</si>
  <si>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</si>
  <si>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</si>
  <si>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</si>
  <si>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</si>
  <si>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</si>
  <si>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</si>
  <si>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</si>
  <si>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</si>
  <si>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</si>
  <si>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</si>
  <si>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</si>
  <si>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</si>
  <si>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</si>
  <si>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</si>
  <si>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</si>
  <si>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</si>
  <si>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</si>
  <si>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</si>
  <si>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</si>
  <si>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</si>
  <si>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</si>
  <si>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</si>
  <si>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</si>
  <si>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세종특별자치시 세종시</t>
  </si>
  <si>
    <t>울산광역시 남구</t>
  </si>
  <si>
    <t>울산광역시 동구</t>
  </si>
  <si>
    <t>울산광역시 북구</t>
  </si>
  <si>
    <t>울산광역시 울주군</t>
  </si>
  <si>
    <t>울산광역시 중구</t>
  </si>
  <si>
    <t>인천광역시 강화군</t>
  </si>
  <si>
    <t>인천광역시 계양구</t>
  </si>
  <si>
    <t>인천광역시 남동구</t>
  </si>
  <si>
    <t>인천광역시 동구</t>
  </si>
  <si>
    <t>인천광역시 미추홀구</t>
  </si>
  <si>
    <t>인천광역시 서구</t>
  </si>
  <si>
    <t>인천광역시 연수구</t>
  </si>
  <si>
    <t>인천광역시 옹진군</t>
  </si>
  <si>
    <t>인천광역시 중구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</si>
  <si>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</si>
  <si>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</si>
  <si>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</si>
  <si>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</si>
  <si>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</si>
  <si>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</si>
  <si>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</si>
  <si>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</si>
  <si>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</si>
  <si>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</si>
  <si>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</si>
  <si>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</si>
  <si>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</si>
  <si>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</si>
  <si>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</si>
  <si>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</si>
  <si>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</si>
  <si>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</si>
  <si>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</si>
  <si>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</si>
  <si>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</si>
  <si>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</si>
  <si>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</si>
  <si>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</si>
  <si>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</si>
  <si>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</si>
  <si>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</si>
  <si>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</si>
  <si>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</si>
  <si>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</si>
  <si>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</si>
  <si>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</si>
  <si>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</si>
  <si>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 덕진구</t>
  </si>
  <si>
    <t>전북특별자치도 전주시 완산구</t>
  </si>
  <si>
    <t>전북특별자치도 정읍시</t>
  </si>
  <si>
    <t>전북특별자치도 진안군</t>
  </si>
  <si>
    <t>제주특별자치도 서귀포시</t>
  </si>
  <si>
    <t>제주특별자치도 제주시</t>
  </si>
  <si>
    <t>충청남도 계룡시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</si>
  <si>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</si>
  <si>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</si>
  <si>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</si>
  <si>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</si>
  <si>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</si>
  <si>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</si>
  <si>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</si>
  <si>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</si>
  <si>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</si>
  <si>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</si>
  <si>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 동남구</t>
  </si>
  <si>
    <t>충청남도 천안시 서북구</t>
  </si>
  <si>
    <t>충청남도 청양군</t>
  </si>
  <si>
    <t>충청남도 태안군</t>
  </si>
  <si>
    <t>충청남도 홍성군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</si>
  <si>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</si>
  <si>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</si>
  <si>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</si>
  <si>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</si>
  <si>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</si>
  <si>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</si>
  <si>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</si>
  <si>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</si>
  <si>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</si>
  <si>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 상당구</t>
  </si>
  <si>
    <t>충청북도 청주시 서원구</t>
  </si>
  <si>
    <t>충청북도 청주시 청원구</t>
  </si>
  <si>
    <t>충청북도 청주시 흥덕구</t>
  </si>
  <si>
    <t>충청북도 충주시</t>
  </si>
  <si>
    <t>north_axis [°]</t>
    <phoneticPr fontId="5" type="noConversion"/>
  </si>
  <si>
    <t>지상층수</t>
    <phoneticPr fontId="5" type="noConversion"/>
  </si>
  <si>
    <t>지하층수</t>
    <phoneticPr fontId="5" type="noConversion"/>
  </si>
  <si>
    <t>비드법보온판</t>
  </si>
  <si>
    <t>콘크리트벽체</t>
  </si>
  <si>
    <t>시멘트 블록</t>
  </si>
  <si>
    <t>무근콘크리트</t>
  </si>
  <si>
    <t>콘크리트슬라브</t>
  </si>
  <si>
    <t>누름콘크리트</t>
  </si>
  <si>
    <t>경량기포콘크리트</t>
  </si>
  <si>
    <t>방통몰탈</t>
  </si>
  <si>
    <t>바닥난방시스템</t>
  </si>
  <si>
    <t>바닥마감재</t>
  </si>
  <si>
    <t>소속실 층</t>
    <phoneticPr fontId="5" type="noConversion"/>
  </si>
  <si>
    <t>용도</t>
  </si>
  <si>
    <t>용도</t>
    <phoneticPr fontId="5" type="noConversion"/>
  </si>
  <si>
    <t>기상데이터</t>
    <phoneticPr fontId="5" type="noConversion"/>
  </si>
  <si>
    <t>실제기상제공연도</t>
    <phoneticPr fontId="5" type="noConversion"/>
  </si>
  <si>
    <t>binary2</t>
    <phoneticPr fontId="5" type="noConversion"/>
  </si>
  <si>
    <t>일사조절장치</t>
    <phoneticPr fontId="5" type="noConversion"/>
  </si>
  <si>
    <t>레이어순서</t>
    <phoneticPr fontId="5" type="noConversion"/>
  </si>
  <si>
    <t>표준기상(TMY)</t>
    <phoneticPr fontId="5" type="noConversion"/>
  </si>
  <si>
    <t>공동주택</t>
    <phoneticPr fontId="5" type="noConversion"/>
  </si>
  <si>
    <t>O</t>
    <phoneticPr fontId="5" type="noConversion"/>
  </si>
  <si>
    <t>없음</t>
    <phoneticPr fontId="5" type="noConversion"/>
  </si>
  <si>
    <t>참조안함</t>
    <phoneticPr fontId="5" type="noConversion"/>
  </si>
  <si>
    <t>실제기상(AMY)</t>
    <phoneticPr fontId="5" type="noConversion"/>
  </si>
  <si>
    <t>공동주택 외</t>
    <phoneticPr fontId="5" type="noConversion"/>
  </si>
  <si>
    <t>-</t>
    <phoneticPr fontId="5" type="noConversion"/>
  </si>
  <si>
    <t>수평외부차양</t>
    <phoneticPr fontId="5" type="noConversion"/>
  </si>
  <si>
    <t>최외측</t>
    <phoneticPr fontId="5" type="noConversion"/>
  </si>
  <si>
    <t>수직외부차양</t>
    <phoneticPr fontId="5" type="noConversion"/>
  </si>
  <si>
    <t>레이어1 뒤</t>
    <phoneticPr fontId="5" type="noConversion"/>
  </si>
  <si>
    <t>외부블라인드</t>
    <phoneticPr fontId="5" type="noConversion"/>
  </si>
  <si>
    <t>레이어2 뒤</t>
    <phoneticPr fontId="5" type="noConversion"/>
  </si>
  <si>
    <t>내부블라인드</t>
    <phoneticPr fontId="5" type="noConversion"/>
  </si>
  <si>
    <t>레이어3 뒤</t>
    <phoneticPr fontId="5" type="noConversion"/>
  </si>
  <si>
    <t>레이어4 뒤</t>
    <phoneticPr fontId="5" type="noConversion"/>
  </si>
  <si>
    <t>최내측</t>
    <phoneticPr fontId="5" type="noConversion"/>
  </si>
  <si>
    <t>용도프로필_목록</t>
    <phoneticPr fontId="5" type="noConversion"/>
  </si>
  <si>
    <t>행정구역명</t>
  </si>
  <si>
    <t>20180901</t>
  </si>
  <si>
    <t>20010117</t>
  </si>
  <si>
    <t>19870721</t>
  </si>
  <si>
    <t>19840317</t>
  </si>
  <si>
    <t>19000101</t>
  </si>
  <si>
    <t>중부2</t>
  </si>
  <si>
    <t>중부1</t>
  </si>
  <si>
    <t>남부</t>
  </si>
  <si>
    <t>제주도</t>
  </si>
  <si>
    <t>시행일자</t>
  </si>
  <si>
    <t>부위</t>
  </si>
  <si>
    <t>외기조건</t>
  </si>
  <si>
    <t>지역</t>
  </si>
  <si>
    <t>열관류율</t>
  </si>
  <si>
    <t>외벽</t>
  </si>
  <si>
    <t>외기 직접</t>
  </si>
  <si>
    <t>공동주택</t>
  </si>
  <si>
    <t>공동주택 외</t>
  </si>
  <si>
    <t>외기 간접</t>
  </si>
  <si>
    <t>최상층 지붕</t>
  </si>
  <si>
    <t>바닥난방인 최하층 바닥</t>
  </si>
  <si>
    <t>바닥난방이 아닌 최하층 바닥</t>
  </si>
  <si>
    <t>바닥난방인 층간바닥</t>
  </si>
  <si>
    <t>바닥난방이 아닌 층간바닥</t>
  </si>
  <si>
    <t>사용시작시간</t>
  </si>
  <si>
    <t>사용종료시간</t>
  </si>
  <si>
    <t>운전시작시간</t>
  </si>
  <si>
    <t>운전종료시간</t>
  </si>
  <si>
    <t>최소도입외기량</t>
  </si>
  <si>
    <t>급탕요구량</t>
    <phoneticPr fontId="5" type="noConversion"/>
  </si>
  <si>
    <t>조명시간</t>
  </si>
  <si>
    <t>사람</t>
  </si>
  <si>
    <t>작업보조기기</t>
  </si>
  <si>
    <t>난방설정온도</t>
  </si>
  <si>
    <t>냉방설정온도</t>
  </si>
  <si>
    <t>사용시간</t>
    <phoneticPr fontId="5" type="noConversion"/>
  </si>
  <si>
    <t>hh:mm</t>
  </si>
  <si>
    <t>m³/(m²h)</t>
    <phoneticPr fontId="5" type="noConversion"/>
  </si>
  <si>
    <t>Wh/(m²d)</t>
    <phoneticPr fontId="5" type="noConversion"/>
  </si>
  <si>
    <t>h</t>
  </si>
  <si>
    <t>Wh/(m²d)</t>
  </si>
  <si>
    <t>°C</t>
  </si>
  <si>
    <t>°C</t>
    <phoneticPr fontId="5" type="noConversion"/>
  </si>
  <si>
    <t>h</t>
    <phoneticPr fontId="5" type="noConversion"/>
  </si>
  <si>
    <t>00:00</t>
  </si>
  <si>
    <t>24:00</t>
  </si>
  <si>
    <t>09:00</t>
  </si>
  <si>
    <t>18:00</t>
  </si>
  <si>
    <t>07:00</t>
  </si>
  <si>
    <t>회의 및 세미나실</t>
  </si>
  <si>
    <t>08:00</t>
  </si>
  <si>
    <t>15:00</t>
  </si>
  <si>
    <t>21:00</t>
  </si>
  <si>
    <t>교실(어린이집)</t>
  </si>
  <si>
    <t>강의실</t>
  </si>
  <si>
    <t>매장</t>
  </si>
  <si>
    <t>20:00</t>
  </si>
  <si>
    <t>전시실</t>
  </si>
  <si>
    <t>10:00</t>
  </si>
  <si>
    <t>열람실</t>
  </si>
  <si>
    <t>23:00</t>
  </si>
  <si>
    <t>법규적용기준지역</t>
    <phoneticPr fontId="5" type="noConversion"/>
  </si>
  <si>
    <t>기상데이터옵션</t>
    <phoneticPr fontId="5" type="noConversion"/>
  </si>
  <si>
    <t>기준년도</t>
    <phoneticPr fontId="5" type="noConversion"/>
  </si>
  <si>
    <t>법규기준벽체 레이어순서</t>
    <phoneticPr fontId="5" type="noConversion"/>
  </si>
  <si>
    <r>
      <t xml:space="preserve">*리모델링이후 단열재 보강 시,
</t>
    </r>
    <r>
      <rPr>
        <b/>
        <u/>
        <sz val="11"/>
        <color theme="1"/>
        <rFont val="맑은 고딕"/>
        <family val="3"/>
        <charset val="129"/>
      </rPr>
      <t>기존벽체의 레이어구성 모르는 경우,</t>
    </r>
    <r>
      <rPr>
        <b/>
        <sz val="11"/>
        <color theme="1"/>
        <rFont val="맑은 고딕"/>
        <family val="3"/>
        <charset val="129"/>
      </rPr>
      <t xml:space="preserve">
법규기준벽체 레이어 위치 입력</t>
    </r>
    <phoneticPr fontId="5" type="noConversion"/>
  </si>
  <si>
    <t xml:space="preserve">  외부 &lt;-</t>
    <phoneticPr fontId="5" type="noConversion"/>
  </si>
  <si>
    <t xml:space="preserve">내부 -&gt;   </t>
    <phoneticPr fontId="5" type="noConversion"/>
  </si>
  <si>
    <t>대수</t>
    <phoneticPr fontId="5" type="noConversion"/>
  </si>
  <si>
    <t>공급 실</t>
    <phoneticPr fontId="5" type="noConversion"/>
  </si>
  <si>
    <t>도시가스</t>
    <phoneticPr fontId="5" type="noConversion"/>
  </si>
  <si>
    <t>LPG</t>
    <phoneticPr fontId="5" type="noConversion"/>
  </si>
  <si>
    <t>천장고 [m]</t>
    <phoneticPr fontId="5" type="noConversion"/>
  </si>
  <si>
    <t>프로필 이름</t>
    <phoneticPr fontId="5" type="noConversion"/>
  </si>
  <si>
    <t>실 주용도</t>
    <phoneticPr fontId="5" type="noConversion"/>
  </si>
  <si>
    <t>상주인원 재실시작시간</t>
    <phoneticPr fontId="5" type="noConversion"/>
  </si>
  <si>
    <t>상주인원 수 [명]</t>
    <phoneticPr fontId="5" type="noConversion"/>
  </si>
  <si>
    <t>상주인원 재실종료시간</t>
    <phoneticPr fontId="5" type="noConversion"/>
  </si>
  <si>
    <t>방문인원 수 [명]</t>
    <phoneticPr fontId="5" type="noConversion"/>
  </si>
  <si>
    <t>재실운영 시작월</t>
    <phoneticPr fontId="5" type="noConversion"/>
  </si>
  <si>
    <t>재실운영 종료월</t>
    <phoneticPr fontId="5" type="noConversion"/>
  </si>
  <si>
    <t>상주인원 요일</t>
    <phoneticPr fontId="5" type="noConversion"/>
  </si>
  <si>
    <t>방문인원 요일</t>
    <phoneticPr fontId="5" type="noConversion"/>
  </si>
  <si>
    <t>냉방설비 운영종료월</t>
    <phoneticPr fontId="5" type="noConversion"/>
  </si>
  <si>
    <t>난방설비 시작시간</t>
  </si>
  <si>
    <t>난방설비 종료시간</t>
  </si>
  <si>
    <t>난방설비 운영시작월</t>
  </si>
  <si>
    <t>난방설비 운영종료월</t>
  </si>
  <si>
    <t>난방설비 설정온도</t>
  </si>
  <si>
    <t>냉방설비 시작시간</t>
  </si>
  <si>
    <t>냉방설비 종료시간</t>
  </si>
  <si>
    <t>냉방설비 운영시작월</t>
  </si>
  <si>
    <t>냉방설비 설정온도</t>
  </si>
  <si>
    <t>조명밀도_근거</t>
    <phoneticPr fontId="5" type="noConversion"/>
  </si>
  <si>
    <t>침기율_근거</t>
    <phoneticPr fontId="5" type="noConversion"/>
  </si>
  <si>
    <t>형상_근거</t>
    <phoneticPr fontId="5" type="noConversion"/>
  </si>
  <si>
    <t>구조체_근거</t>
    <phoneticPr fontId="5" type="noConversion"/>
  </si>
  <si>
    <t>쿨루프_근거</t>
    <phoneticPr fontId="5" type="noConversion"/>
  </si>
  <si>
    <t>개구부_근거</t>
    <phoneticPr fontId="5" type="noConversion"/>
  </si>
  <si>
    <t>개구부구조체_근거</t>
    <phoneticPr fontId="5" type="noConversion"/>
  </si>
  <si>
    <t>공급설비_근거</t>
    <phoneticPr fontId="5" type="noConversion"/>
  </si>
  <si>
    <t>생산설비_근거</t>
    <phoneticPr fontId="5" type="noConversion"/>
  </si>
  <si>
    <t>환기설비_근거</t>
    <phoneticPr fontId="5" type="noConversion"/>
  </si>
  <si>
    <t>PV패널_근거</t>
    <phoneticPr fontId="5" type="noConversion"/>
  </si>
  <si>
    <t>외기벽</t>
    <phoneticPr fontId="5" type="noConversion"/>
  </si>
  <si>
    <t>난방설비2 시작시간</t>
    <phoneticPr fontId="5" type="noConversion"/>
  </si>
  <si>
    <t>난방설비2 종료시간</t>
  </si>
  <si>
    <t>난방설비2 운영시작월</t>
  </si>
  <si>
    <t>난방설비2 운영종료월</t>
  </si>
  <si>
    <t>난방설비2 설정온도</t>
  </si>
  <si>
    <t>냉방설비2 시작시간</t>
  </si>
  <si>
    <t>냉방설비2 종료시간</t>
  </si>
  <si>
    <t>냉방설비2 운영시작월</t>
  </si>
  <si>
    <t>냉방설비2 운영종료월</t>
  </si>
  <si>
    <t>냉방설비2 설정온도</t>
  </si>
  <si>
    <t>PF 보드</t>
  </si>
  <si>
    <t>가등급 단열재</t>
  </si>
  <si>
    <t>나등급 단열재</t>
  </si>
  <si>
    <t>폼</t>
  </si>
  <si>
    <t>진공단열재</t>
  </si>
  <si>
    <t>열반사 단열재(50T)</t>
  </si>
  <si>
    <t>전기바닥난방</t>
    <phoneticPr fontId="5" type="noConversion"/>
  </si>
  <si>
    <t>건축물대장</t>
  </si>
  <si>
    <t>방문인원 체류시간 [분]</t>
    <phoneticPr fontId="5" type="noConversion"/>
  </si>
  <si>
    <t>용량 [CMH]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</si>
</sst>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9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  <scheme val="minor"/>
    </font>
    <font>
      <b/>
      <sz val="11"/>
      <color rgb="FF000000"/>
      <name val="맑은 고딕"/>
      <family val="3"/>
      <charset val="129"/>
    </font>
    <font>
      <b/>
      <sz val="11"/>
      <color theme="1"/>
      <name val="Arial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A7D00"/>
      <name val="Arial"/>
      <family val="2"/>
      <charset val="129"/>
      <scheme val="minor"/>
    </font>
    <font>
      <b/>
      <sz val="10"/>
      <color rgb="FFFA7D00"/>
      <name val="맑은 고딕"/>
      <family val="3"/>
      <charset val="129"/>
    </font>
    <font>
      <b/>
      <sz val="10"/>
      <color rgb="FFFA7D00"/>
      <name val="Arial"/>
      <family val="2"/>
      <charset val="129"/>
      <scheme val="minor"/>
    </font>
    <font>
      <b/>
      <sz val="11"/>
      <color theme="1"/>
      <name val="Arial"/>
      <family val="3"/>
      <charset val="129"/>
    </font>
    <font>
      <sz val="10"/>
      <color rgb="FF000000"/>
      <name val="Arial Unicode MS"/>
      <family val="2"/>
      <charset val="129"/>
    </font>
    <font>
      <b/>
      <sz val="10"/>
      <color rgb="FF000000"/>
      <name val="Arial"/>
      <family val="2"/>
      <scheme val="minor"/>
    </font>
    <font>
      <b/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 tint="0.249977111117893"/>
      <name val="맑은 고딕"/>
      <family val="3"/>
      <charset val="129"/>
    </font>
    <font>
      <b/>
      <sz val="10"/>
      <color theme="1" tint="0.249977111117893"/>
      <name val="Arial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7" tint="-0.249977111117893"/>
      </left>
      <right/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7" tint="-0.249977111117893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medium">
        <color indexed="64"/>
      </top>
      <bottom style="thin">
        <color theme="7" tint="-0.249977111117893"/>
      </bottom>
      <diagonal/>
    </border>
  </borders>
  <cellStyleXfs count="4">
    <xf numFmtId="0" fontId="0" fillId="0" borderId="0"/>
    <xf numFmtId="0" fontId="4" fillId="0" borderId="0"/>
    <xf numFmtId="9" fontId="4" fillId="0" borderId="0">
      <alignment vertical="center"/>
    </xf>
    <xf numFmtId="0" fontId="15" fillId="2" borderId="1">
      <alignment vertical="center"/>
    </xf>
  </cellStyleXfs>
  <cellXfs count="102">
    <xf numFmtId="0" fontId="0" fillId="0" borderId="0" xfId="0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6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176" fontId="16" fillId="2" borderId="1" xfId="3" applyNumberFormat="1" applyFont="1" applyAlignment="1">
      <alignment horizontal="center" vertical="center"/>
    </xf>
    <xf numFmtId="0" fontId="16" fillId="2" borderId="1" xfId="3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/>
    </xf>
    <xf numFmtId="9" fontId="9" fillId="0" borderId="0" xfId="2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9" fontId="4" fillId="0" borderId="0" xfId="2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9" fillId="3" borderId="2" xfId="0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76" fontId="16" fillId="0" borderId="0" xfId="3" applyNumberFormat="1" applyFont="1" applyFill="1" applyBorder="1" applyAlignment="1">
      <alignment horizontal="center" vertical="center"/>
    </xf>
    <xf numFmtId="0" fontId="22" fillId="5" borderId="1" xfId="3" applyFont="1" applyFill="1" applyAlignment="1">
      <alignment horizontal="center" vertical="center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23" fillId="5" borderId="4" xfId="3" applyFont="1" applyFill="1" applyBorder="1" applyAlignment="1">
      <alignment horizontal="center" vertical="center"/>
    </xf>
    <xf numFmtId="176" fontId="23" fillId="5" borderId="4" xfId="3" applyNumberFormat="1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/>
    </xf>
    <xf numFmtId="0" fontId="24" fillId="5" borderId="1" xfId="3" applyFont="1" applyFill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4" fillId="5" borderId="6" xfId="3" applyFont="1" applyFill="1" applyBorder="1" applyAlignment="1">
      <alignment horizontal="center" vertical="center"/>
    </xf>
    <xf numFmtId="0" fontId="7" fillId="0" borderId="0" xfId="0" applyFont="1"/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vertical="center" wrapText="1"/>
    </xf>
    <xf numFmtId="0" fontId="27" fillId="0" borderId="9" xfId="0" applyFont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7" fillId="5" borderId="1" xfId="3" applyFont="1" applyFill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" fillId="4" borderId="11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3" fillId="4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>
      <alignment vertical="center"/>
    </xf>
    <xf numFmtId="0" fontId="21" fillId="0" borderId="12" xfId="0" applyFont="1" applyBorder="1" applyAlignment="1">
      <alignment horizontal="left" vertical="center"/>
    </xf>
    <xf numFmtId="0" fontId="0" fillId="3" borderId="13" xfId="0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vertical="center"/>
      <protection locked="0"/>
    </xf>
    <xf numFmtId="0" fontId="13" fillId="3" borderId="13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20" fontId="13" fillId="4" borderId="2" xfId="0" applyNumberFormat="1" applyFont="1" applyFill="1" applyBorder="1" applyAlignment="1">
      <alignment horizontal="center" vertical="center"/>
    </xf>
    <xf numFmtId="20" fontId="13" fillId="4" borderId="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4" borderId="11" xfId="0" applyFont="1" applyFill="1" applyBorder="1" applyAlignment="1">
      <alignment vertical="center"/>
    </xf>
    <xf numFmtId="0" fontId="13" fillId="3" borderId="2" xfId="1" applyFont="1" applyFill="1" applyBorder="1" applyAlignment="1" applyProtection="1">
      <alignment horizontal="center" vertical="center"/>
      <protection locked="0"/>
    </xf>
    <xf numFmtId="9" fontId="13" fillId="4" borderId="2" xfId="2" applyFont="1" applyFill="1" applyBorder="1" applyAlignment="1" applyProtection="1">
      <alignment horizontal="center" vertical="center"/>
      <protection locked="0"/>
    </xf>
    <xf numFmtId="0" fontId="14" fillId="6" borderId="2" xfId="0" applyFont="1" applyFill="1" applyBorder="1" applyAlignment="1" applyProtection="1">
      <alignment horizontal="center" vertical="center"/>
      <protection locked="0"/>
    </xf>
    <xf numFmtId="0" fontId="14" fillId="6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3" fillId="4" borderId="2" xfId="2" applyNumberFormat="1" applyFont="1" applyFill="1" applyBorder="1" applyAlignment="1" applyProtection="1">
      <alignment horizontal="center" vertical="center"/>
      <protection locked="0"/>
    </xf>
    <xf numFmtId="0" fontId="4" fillId="0" borderId="0" xfId="2" applyNumberForma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28" fillId="0" borderId="0" xfId="2" applyFont="1" applyAlignment="1">
      <alignment horizontal="center" vertical="center"/>
    </xf>
  </cellXfs>
  <cellStyles count="4">
    <cellStyle name="계산" xfId="3" builtinId="22"/>
    <cellStyle name="백분율 2" xfId="2" xr:uid="{00000000-0005-0000-0000-000002000000}"/>
    <cellStyle name="표준" xfId="0" builtinId="0"/>
    <cellStyle name="표준 2" xfId="1" xr:uid="{00000000-0005-0000-0000-000001000000}"/>
  </cellStyles>
  <dxfs count="20"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>
          <bgColor rgb="FFC00000"/>
        </patternFill>
      </fill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>
          <bgColor theme="0" tint="-4.9989318521683403E-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9524</xdr:colOff>
      <xdr:row>4</xdr:row>
      <xdr:rowOff>9525</xdr:rowOff>
    </xdr:from>
    <xdr:to>
      <xdr:col>18</xdr:col>
      <xdr:colOff>742950</xdr:colOff>
      <xdr:row>9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2330FC-6647-62B5-D9C1-CE5A1C064BF0}"/>
            </a:ext>
          </a:extLst>
        </xdr:cNvPr>
        <xdr:cNvSpPr txBox="1"/>
      </xdr:nvSpPr>
      <xdr:spPr>
        <a:xfrm>
          <a:off x="15192374" y="771525"/>
          <a:ext cx="4886326" cy="11810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100" b="1">
              <a:solidFill>
                <a:srgbClr val="FF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구조체</a:t>
          </a:r>
          <a:r>
            <a:rPr lang="ko-KR" altLang="en-US" sz="1100" b="1" baseline="0">
              <a:solidFill>
                <a:srgbClr val="FF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이름과 쿨루프 반사율만 입력하시면 됩니다</a:t>
          </a:r>
          <a:r>
            <a:rPr lang="en-US" altLang="ko-KR" sz="1100" b="1" baseline="0">
              <a:solidFill>
                <a:srgbClr val="FF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.</a:t>
          </a:r>
        </a:p>
        <a:p>
          <a:endParaRPr lang="en-US" altLang="ko-KR" sz="1100" b="1" baseline="0">
            <a:solidFill>
              <a:srgbClr val="FF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1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  <a:endParaRPr lang="en-US" altLang="ko-KR" sz="1100" b="1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구조체 이름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쿨루프 반사율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2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(GR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이전의 경우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1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데이터셋에 입력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endParaRPr lang="ko-KR" altLang="en-US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228599</xdr:rowOff>
    </xdr:from>
    <xdr:to>
      <xdr:col>14</xdr:col>
      <xdr:colOff>628650</xdr:colOff>
      <xdr:row>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926659-2F76-4C32-833D-7C04FEB55050}"/>
            </a:ext>
          </a:extLst>
        </xdr:cNvPr>
        <xdr:cNvSpPr txBox="1"/>
      </xdr:nvSpPr>
      <xdr:spPr>
        <a:xfrm>
          <a:off x="8905875" y="781049"/>
          <a:ext cx="6067425" cy="752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  <a:endParaRPr lang="en-US" altLang="ko-KR" sz="1100" b="1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이전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이후의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현장조사 이후 수정 필요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/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실재 교체 안한 경우가 있음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.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4</xdr:row>
      <xdr:rowOff>0</xdr:rowOff>
    </xdr:from>
    <xdr:to>
      <xdr:col>21</xdr:col>
      <xdr:colOff>114300</xdr:colOff>
      <xdr:row>7</xdr:row>
      <xdr:rowOff>66676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94A2F-8D75-4B1D-B76E-B38E7CA291FA}"/>
            </a:ext>
          </a:extLst>
        </xdr:cNvPr>
        <xdr:cNvSpPr txBox="1"/>
      </xdr:nvSpPr>
      <xdr:spPr>
        <a:xfrm>
          <a:off x="18249900" y="1333500"/>
          <a:ext cx="6067425" cy="752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이전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이후의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현장조사 이후 수정 필요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실재 교체 안한 경우가 있음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</xdr:row>
      <xdr:rowOff>0</xdr:rowOff>
    </xdr:from>
    <xdr:to>
      <xdr:col>12</xdr:col>
      <xdr:colOff>476250</xdr:colOff>
      <xdr:row>7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3A62E1-3433-4564-89B5-407BFD3D3426}"/>
            </a:ext>
          </a:extLst>
        </xdr:cNvPr>
        <xdr:cNvSpPr txBox="1"/>
      </xdr:nvSpPr>
      <xdr:spPr>
        <a:xfrm>
          <a:off x="5962650" y="771525"/>
          <a:ext cx="6067425" cy="752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이전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이후의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현장조사 이후 수정 필요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실재 교체 안한 경우가 있음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32</xdr:row>
      <xdr:rowOff>200025</xdr:rowOff>
    </xdr:from>
    <xdr:to>
      <xdr:col>11</xdr:col>
      <xdr:colOff>685800</xdr:colOff>
      <xdr:row>42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33EBA8-DF98-4439-95CC-84F4AA939E66}"/>
            </a:ext>
          </a:extLst>
        </xdr:cNvPr>
        <xdr:cNvSpPr txBox="1"/>
      </xdr:nvSpPr>
      <xdr:spPr>
        <a:xfrm>
          <a:off x="1514475" y="6781800"/>
          <a:ext cx="10877550" cy="20764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입력방법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객실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관사 내의 모든 실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방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거실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주방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화장실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현관 등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건강증진실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체육활동을 하는 경우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체육시설</a:t>
          </a:r>
          <a:b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</a:b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	 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체육활동이 없는 경우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그 외 체류공간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병실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24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시간 운영되는 공간으로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1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인 또는 다수의 환자가 단기 또는 장기간 입원할수 있는 공간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부속공간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공용공간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로비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홀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복도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계단실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엘리베이터 전실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현관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비상용 계단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미디어 스페이스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오픈공간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간호사실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오픈공간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발코니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(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이중외피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등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소규모 사무실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30m2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이하의 개인이 점유하거나 소수가 공유하는 공간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대규모 사무실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30m2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초과의 여러명이 공유하는 공간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구내식당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음식을 조리하기 위한 별도의 주방이 있으며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건물 이용자의 식사를 위한 공간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주방 및 조리실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구내식당에 제공하는 음식을 조리하는 과정에서 사용되는 공간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2</xdr:row>
      <xdr:rowOff>28574</xdr:rowOff>
    </xdr:from>
    <xdr:to>
      <xdr:col>17</xdr:col>
      <xdr:colOff>828675</xdr:colOff>
      <xdr:row>10</xdr:row>
      <xdr:rowOff>38099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9F5F58-8AD9-4C91-849C-F731265BF212}"/>
            </a:ext>
          </a:extLst>
        </xdr:cNvPr>
        <xdr:cNvSpPr txBox="1"/>
      </xdr:nvSpPr>
      <xdr:spPr>
        <a:xfrm>
          <a:off x="11963400" y="352424"/>
          <a:ext cx="5000625" cy="1838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b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</a:b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 설비가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이후에도 유지되는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 확인후 입력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신설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 :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용어</a:t>
          </a:r>
          <a:endParaRPr lang="en-US" altLang="ko-KR" sz="1100" b="1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냉난방이 모두 되는 경우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공조기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냉방만 되는 경우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패키지에어컨</a:t>
          </a:r>
          <a:endParaRPr lang="en-US" altLang="ko-KR" sz="1100" b="0" baseline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전기패널 난방 </a:t>
          </a:r>
          <a:r>
            <a:rPr lang="en-US" altLang="ko-KR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전기바닥난방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</xdr:row>
      <xdr:rowOff>219075</xdr:rowOff>
    </xdr:from>
    <xdr:to>
      <xdr:col>23</xdr:col>
      <xdr:colOff>819150</xdr:colOff>
      <xdr:row>6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60E9A7-3F82-431E-9FA8-31EF14BA1434}"/>
            </a:ext>
          </a:extLst>
        </xdr:cNvPr>
        <xdr:cNvSpPr txBox="1"/>
      </xdr:nvSpPr>
      <xdr:spPr>
        <a:xfrm>
          <a:off x="17230725" y="304800"/>
          <a:ext cx="5000625" cy="9906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b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</a:b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 설비가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이후에도 유지되는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 확인후 입력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신설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 :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0</xdr:rowOff>
    </xdr:from>
    <xdr:to>
      <xdr:col>18</xdr:col>
      <xdr:colOff>295275</xdr:colOff>
      <xdr:row>6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A3DFBB-507F-46A7-BD70-E57779000D36}"/>
            </a:ext>
          </a:extLst>
        </xdr:cNvPr>
        <xdr:cNvSpPr txBox="1"/>
      </xdr:nvSpPr>
      <xdr:spPr>
        <a:xfrm>
          <a:off x="8677275" y="314325"/>
          <a:ext cx="5000625" cy="9906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b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</a:b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 설비가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GR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이후에도 유지되는 경우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 확인후 입력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신설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 :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4</xdr:row>
      <xdr:rowOff>38100</xdr:rowOff>
    </xdr:from>
    <xdr:to>
      <xdr:col>12</xdr:col>
      <xdr:colOff>304800</xdr:colOff>
      <xdr:row>7</xdr:row>
      <xdr:rowOff>104776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0EA9FB-0403-4036-B196-90AC94A6D451}"/>
            </a:ext>
          </a:extLst>
        </xdr:cNvPr>
        <xdr:cNvSpPr txBox="1"/>
      </xdr:nvSpPr>
      <xdr:spPr>
        <a:xfrm>
          <a:off x="5257800" y="809625"/>
          <a:ext cx="3895725" cy="752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※ </a:t>
          </a:r>
          <a:r>
            <a:rPr lang="ko-KR" altLang="en-US" sz="1100" b="1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입력 방법 및 시점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기존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: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위성 지도 및 로드뷰 확인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1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</a:p>
        <a:p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- (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신설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) : 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현장 조사 </a:t>
          </a:r>
          <a:r>
            <a:rPr lang="en-US" altLang="ko-KR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 2</a:t>
          </a:r>
          <a:r>
            <a:rPr lang="ko-KR" altLang="en-US" sz="1100" b="0">
              <a:solidFill>
                <a:sysClr val="windowText" lastClr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차 데이터셋</a:t>
          </a:r>
          <a:endParaRPr lang="en-US" altLang="ko-KR" sz="1100" b="0">
            <a:solidFill>
              <a:sysClr val="windowText" lastClr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B1:AE1001"/>
  <sheetViews>
    <sheetView tabSelected="1" zoomScaleNormal="100" workbookViewId="0">
      <selection activeCell="D3" sqref="D3"/>
    </sheetView>
  </sheetViews>
  <sheetFormatPr defaultColWidth="12.5703125" defaultRowHeight="17.100000000000001" customHeight="1"/>
  <cols>
    <col min="1" max="1" width="1.42578125" style="15" customWidth="1"/>
    <col min="2" max="2" width="14.140625" style="15" customWidth="1"/>
    <col min="3" max="3" width="1.42578125" style="15" customWidth="1"/>
    <col min="4" max="4" width="17.5703125" style="15" bestFit="1" customWidth="1"/>
    <col min="5" max="5" width="17.5703125" style="15" customWidth="1"/>
    <col min="6" max="6" width="15.85546875" style="15" bestFit="1" customWidth="1"/>
    <col min="7" max="7" width="60.85546875" style="15" bestFit="1" customWidth="1"/>
    <col min="8" max="8" width="20.28515625" style="15" bestFit="1" customWidth="1"/>
    <col min="9" max="10" width="13.7109375" style="15" customWidth="1"/>
    <col min="11" max="11" width="13.28515625" style="15" customWidth="1"/>
    <col min="12" max="12" width="1.42578125" style="15" customWidth="1"/>
    <col min="13" max="13" width="17.85546875" style="15" bestFit="1" customWidth="1"/>
    <col min="14" max="16384" width="12.5703125" style="15"/>
  </cols>
  <sheetData>
    <row r="1" spans="2:31" ht="6.75" customHeight="1"/>
    <row r="2" spans="2:31" s="10" customFormat="1" ht="17.100000000000001" customHeight="1">
      <c r="D2" s="12" t="s">
        <v>0</v>
      </c>
      <c r="E2" s="12" t="s">
        <v>462</v>
      </c>
      <c r="F2" s="12" t="s">
        <v>447</v>
      </c>
      <c r="G2" s="12" t="s">
        <v>1</v>
      </c>
      <c r="H2" s="12" t="s">
        <v>549</v>
      </c>
      <c r="I2" s="12" t="s">
        <v>448</v>
      </c>
      <c r="J2" s="12" t="s">
        <v>449</v>
      </c>
      <c r="K2" s="12" t="s">
        <v>2</v>
      </c>
      <c r="L2" s="11"/>
      <c r="M2" s="12" t="s">
        <v>550</v>
      </c>
      <c r="N2" s="12" t="s">
        <v>551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2:31" ht="17.100000000000001" customHeight="1">
      <c r="B3" s="37" t="s">
        <v>4</v>
      </c>
      <c r="D3" s="6"/>
      <c r="E3" s="6"/>
      <c r="F3" s="6"/>
      <c r="G3" s="6"/>
      <c r="H3" s="76" t="e" cm="1">
        <f t="array" ref="H3">INDEX(행정구역DB!$B:$F,
    MATCH($G3,행정구역DB!$A:$A,0),
    MATCH(
        MAX(_xlfn._xlws.FILTER(
            DATE(LEFT(행정구역DB!$B$1:$F$1,4),MID(행정구역DB!$B$1:$F$1,5,2),RIGHT(행정구역DB!$B$1:$F$1,2)),
            DATE(LEFT(행정구역DB!$B$1:$F$1,4),MID(행정구역DB!$B$1:$F$1,5,2),RIGHT(행정구역DB!$B$1:$F$1,2))&lt;=$K3
        )),
        DATE(LEFT(행정구역DB!$B$1:$F$1,4),MID(행정구역DB!$B$1:$F$1,5,2),RIGHT(행정구역DB!$B$1:$F$1,2)),
        0
    )
)</f>
        <v>#N/A</v>
      </c>
      <c r="I3" s="6"/>
      <c r="J3" s="6"/>
      <c r="K3" s="13"/>
      <c r="L3" s="14"/>
      <c r="M3" s="77"/>
      <c r="N3" s="78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2:31" ht="17.100000000000001" customHeight="1">
      <c r="B4" s="38" t="s">
        <v>5</v>
      </c>
      <c r="D4" s="14"/>
      <c r="E4" s="14"/>
      <c r="F4" s="14"/>
      <c r="G4" s="14"/>
      <c r="H4" s="14"/>
      <c r="I4" s="14"/>
      <c r="J4" s="14"/>
      <c r="K4" s="14"/>
      <c r="L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2:31" ht="17.100000000000001" customHeight="1">
      <c r="B5" s="41" t="s">
        <v>6</v>
      </c>
      <c r="D5" s="14"/>
      <c r="E5" s="14"/>
      <c r="F5" s="14"/>
      <c r="G5" s="14"/>
      <c r="H5" s="14"/>
      <c r="I5" s="14"/>
      <c r="J5" s="14"/>
      <c r="K5" s="14"/>
      <c r="L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2:31" ht="17.100000000000001" customHeight="1"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2:31" ht="17.100000000000001" customHeight="1"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2:31" ht="17.100000000000001" customHeight="1"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2:31" ht="17.100000000000001" customHeight="1"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2:31" ht="17.100000000000001" customHeight="1"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2:31" ht="17.100000000000001" customHeight="1"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2:31" ht="17.100000000000001" customHeight="1"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2:31" ht="17.100000000000001" customHeight="1"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2:31" ht="17.100000000000001" customHeight="1"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2:31" ht="17.100000000000001" customHeight="1"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2:31" ht="17.100000000000001" customHeight="1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4:31" ht="17.100000000000001" customHeight="1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4:31" ht="17.100000000000001" customHeight="1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4:31" ht="17.100000000000001" customHeight="1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4:31" ht="17.100000000000001" customHeight="1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4:31" ht="17.100000000000001" customHeight="1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4:31" ht="17.100000000000001" customHeight="1"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4:31" ht="17.100000000000001" customHeight="1"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4:31" ht="17.100000000000001" customHeight="1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4:31" ht="17.100000000000001" customHeight="1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4:31" ht="17.100000000000001" customHeight="1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4:31" ht="17.100000000000001" customHeight="1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4:31" ht="17.100000000000001" customHeight="1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4:31" ht="17.100000000000001" customHeight="1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4:31" ht="17.100000000000001" customHeight="1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4:31" ht="17.100000000000001" customHeight="1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4:31" ht="17.100000000000001" customHeight="1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4:31" ht="17.100000000000001" customHeight="1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4:31" ht="17.100000000000001" customHeight="1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4:31" ht="17.100000000000001" customHeight="1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4:31" ht="17.100000000000001" customHeight="1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4:31" ht="17.100000000000001" customHeight="1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4:31" ht="17.100000000000001" customHeight="1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4:31" ht="17.100000000000001" customHeight="1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4:31" ht="17.100000000000001" customHeight="1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4:31" ht="17.100000000000001" customHeight="1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4:31" ht="17.100000000000001" customHeight="1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4:31" ht="17.100000000000001" customHeight="1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4:31" ht="17.100000000000001" customHeight="1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4:31" ht="17.100000000000001" customHeight="1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4:31" ht="17.100000000000001" customHeight="1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4:31" ht="17.100000000000001" customHeight="1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4:31" ht="17.100000000000001" customHeight="1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4:31" ht="17.100000000000001" customHeight="1"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4:31" ht="17.100000000000001" customHeight="1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4:31" ht="17.100000000000001" customHeight="1"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4:31" ht="17.100000000000001" customHeight="1"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4:31" ht="17.100000000000001" customHeight="1"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4:31" ht="17.100000000000001" customHeight="1"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4:31" ht="17.100000000000001" customHeight="1"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4:31" ht="17.100000000000001" customHeight="1"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4:31" ht="17.100000000000001" customHeight="1"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4:31" ht="17.100000000000001" customHeight="1"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4:31" ht="17.100000000000001" customHeight="1"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4:31" ht="17.100000000000001" customHeight="1"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4:31" ht="17.100000000000001" customHeight="1"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4:31" ht="17.100000000000001" customHeight="1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4:31" ht="17.100000000000001" customHeight="1"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4:31" ht="17.100000000000001" customHeight="1"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4:31" ht="17.100000000000001" customHeight="1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4:31" ht="17.100000000000001" customHeight="1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4:31" ht="17.100000000000001" customHeight="1"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4:31" ht="17.100000000000001" customHeight="1"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4:31" ht="17.100000000000001" customHeight="1"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4:31" ht="17.100000000000001" customHeight="1"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4:31" ht="17.100000000000001" customHeight="1"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4:31" ht="17.100000000000001" customHeight="1"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4:31" ht="17.100000000000001" customHeight="1"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4:31" ht="17.100000000000001" customHeight="1"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4:31" ht="17.100000000000001" customHeight="1"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4:31" ht="17.100000000000001" customHeight="1"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4:31" ht="17.100000000000001" customHeight="1"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4:31" ht="17.100000000000001" customHeight="1"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4:31" ht="17.100000000000001" customHeight="1"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4:31" ht="17.100000000000001" customHeight="1"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4:31" ht="17.100000000000001" customHeight="1"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4:31" ht="17.100000000000001" customHeight="1"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4:31" ht="17.100000000000001" customHeight="1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4:31" ht="17.100000000000001" customHeight="1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4:31" ht="17.100000000000001" customHeight="1"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4:31" ht="17.100000000000001" customHeight="1"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4:31" ht="17.100000000000001" customHeight="1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4:31" ht="17.100000000000001" customHeight="1"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4:31" ht="17.100000000000001" customHeight="1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4:31" ht="17.100000000000001" customHeight="1"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4:31" ht="17.100000000000001" customHeight="1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4:31" ht="17.100000000000001" customHeight="1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4:31" ht="17.100000000000001" customHeight="1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4:31" ht="17.100000000000001" customHeight="1"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4:31" ht="17.100000000000001" customHeight="1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4:31" ht="17.100000000000001" customHeight="1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4:31" ht="17.100000000000001" customHeight="1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4:31" ht="17.100000000000001" customHeight="1"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4:31" ht="17.100000000000001" customHeight="1"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4:31" ht="17.100000000000001" customHeight="1"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4:31" ht="17.100000000000001" customHeight="1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4:31" ht="17.100000000000001" customHeight="1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4:31" ht="17.100000000000001" customHeight="1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4:31" ht="17.100000000000001" customHeight="1"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4:31" ht="17.100000000000001" customHeight="1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4:31" ht="17.100000000000001" customHeight="1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4:31" ht="17.100000000000001" customHeight="1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4:31" ht="17.100000000000001" customHeight="1"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4:31" ht="17.100000000000001" customHeight="1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4:31" ht="17.100000000000001" customHeight="1"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4:31" ht="17.100000000000001" customHeight="1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4:31" ht="17.100000000000001" customHeight="1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4:31" ht="17.100000000000001" customHeight="1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4:31" ht="17.100000000000001" customHeight="1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4:31" ht="17.100000000000001" customHeight="1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4:31" ht="17.100000000000001" customHeight="1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4:31" ht="17.100000000000001" customHeight="1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4:31" ht="17.100000000000001" customHeight="1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4:31" ht="17.100000000000001" customHeight="1"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4:31" ht="17.100000000000001" customHeight="1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4:31" ht="17.100000000000001" customHeight="1"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4:31" ht="17.100000000000001" customHeight="1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4:31" ht="17.100000000000001" customHeight="1"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spans="4:31" ht="17.100000000000001" customHeight="1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4:31" ht="17.100000000000001" customHeight="1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4:31" ht="17.100000000000001" customHeight="1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4:31" ht="17.100000000000001" customHeight="1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4:31" ht="17.100000000000001" customHeight="1"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4:31" ht="17.100000000000001" customHeight="1"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4:31" ht="17.100000000000001" customHeight="1"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spans="4:31" ht="17.100000000000001" customHeight="1"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spans="4:31" ht="17.100000000000001" customHeight="1"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spans="4:31" ht="17.100000000000001" customHeight="1"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spans="4:31" ht="17.100000000000001" customHeight="1"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spans="4:31" ht="17.100000000000001" customHeight="1"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spans="4:31" ht="17.100000000000001" customHeight="1"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spans="4:31" ht="17.100000000000001" customHeight="1"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spans="4:31" ht="17.100000000000001" customHeight="1"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spans="4:31" ht="17.100000000000001" customHeight="1"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spans="4:31" ht="17.100000000000001" customHeight="1"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spans="4:31" ht="17.100000000000001" customHeight="1"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spans="4:31" ht="17.100000000000001" customHeight="1"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spans="4:31" ht="17.100000000000001" customHeight="1"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spans="4:31" ht="17.100000000000001" customHeight="1"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spans="4:31" ht="17.100000000000001" customHeight="1"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spans="4:31" ht="17.100000000000001" customHeight="1"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spans="4:31" ht="17.100000000000001" customHeight="1"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spans="4:31" ht="17.100000000000001" customHeight="1"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spans="4:31" ht="17.100000000000001" customHeight="1"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spans="4:31" ht="17.100000000000001" customHeight="1"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spans="4:31" ht="17.100000000000001" customHeight="1"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spans="4:31" ht="17.100000000000001" customHeight="1"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spans="4:31" ht="17.100000000000001" customHeight="1"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spans="4:31" ht="17.100000000000001" customHeight="1"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spans="4:31" ht="17.100000000000001" customHeight="1"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spans="4:31" ht="17.100000000000001" customHeight="1"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spans="4:31" ht="17.100000000000001" customHeight="1"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spans="4:31" ht="17.100000000000001" customHeight="1"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spans="4:31" ht="17.100000000000001" customHeight="1"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spans="4:31" ht="17.100000000000001" customHeight="1"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spans="4:31" ht="17.100000000000001" customHeight="1"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spans="4:31" ht="17.100000000000001" customHeight="1"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spans="4:31" ht="17.100000000000001" customHeight="1"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spans="4:31" ht="17.100000000000001" customHeight="1"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spans="4:31" ht="17.100000000000001" customHeight="1"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spans="4:31" ht="17.100000000000001" customHeight="1"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spans="4:31" ht="17.100000000000001" customHeight="1"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spans="4:31" ht="17.100000000000001" customHeight="1"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spans="4:31" ht="17.100000000000001" customHeight="1"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spans="4:31" ht="17.100000000000001" customHeight="1"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spans="4:31" ht="17.100000000000001" customHeight="1"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spans="4:31" ht="17.100000000000001" customHeight="1"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spans="4:31" ht="17.100000000000001" customHeight="1"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spans="4:31" ht="17.100000000000001" customHeight="1"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spans="4:31" ht="17.100000000000001" customHeight="1"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spans="4:31" ht="17.100000000000001" customHeight="1"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spans="4:31" ht="17.100000000000001" customHeight="1"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4:31" ht="17.100000000000001" customHeight="1"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4:31" ht="17.100000000000001" customHeight="1"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4:31" ht="17.100000000000001" customHeight="1"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4:31" ht="17.100000000000001" customHeight="1"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4:31" ht="17.100000000000001" customHeight="1"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4:31" ht="17.100000000000001" customHeight="1"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4:31" ht="17.100000000000001" customHeight="1"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4:31" ht="17.100000000000001" customHeight="1"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4:31" ht="17.100000000000001" customHeight="1"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4:31" ht="17.100000000000001" customHeight="1"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4:31" ht="17.100000000000001" customHeight="1"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4:31" ht="17.100000000000001" customHeight="1"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4:31" ht="17.100000000000001" customHeight="1"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4:31" ht="17.100000000000001" customHeight="1"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4:31" ht="17.100000000000001" customHeight="1"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4:31" ht="17.100000000000001" customHeight="1"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4:31" ht="17.100000000000001" customHeight="1"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4:31" ht="17.100000000000001" customHeight="1"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4:31" ht="17.100000000000001" customHeight="1"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4:31" ht="17.100000000000001" customHeight="1"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4:31" ht="17.100000000000001" customHeight="1"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4:31" ht="17.100000000000001" customHeight="1"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4:31" ht="17.100000000000001" customHeight="1"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4:31" ht="17.100000000000001" customHeight="1"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4:31" ht="17.100000000000001" customHeight="1"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4:31" ht="17.100000000000001" customHeight="1"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4:31" ht="17.100000000000001" customHeight="1"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4:31" ht="17.100000000000001" customHeight="1"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4:31" ht="17.100000000000001" customHeight="1"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4:31" ht="17.100000000000001" customHeight="1"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4:31" ht="17.100000000000001" customHeight="1"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4:31" ht="17.100000000000001" customHeight="1"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4:31" ht="17.100000000000001" customHeight="1"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4:31" ht="17.100000000000001" customHeight="1"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4:31" ht="17.100000000000001" customHeight="1"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4:31" ht="17.100000000000001" customHeight="1"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4:31" ht="17.100000000000001" customHeight="1"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4:31" ht="17.100000000000001" customHeight="1"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4:31" ht="17.100000000000001" customHeight="1"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4:31" ht="17.100000000000001" customHeight="1"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4:31" ht="17.100000000000001" customHeight="1"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4:31" ht="17.100000000000001" customHeight="1"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4:31" ht="17.100000000000001" customHeight="1"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4:31" ht="17.100000000000001" customHeight="1"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4:31" ht="17.100000000000001" customHeight="1"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4:31" ht="17.100000000000001" customHeight="1"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4:31" ht="17.100000000000001" customHeight="1"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4:31" ht="17.100000000000001" customHeight="1"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4:31" ht="17.100000000000001" customHeight="1"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4:31" ht="17.100000000000001" customHeight="1"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4:31" ht="17.100000000000001" customHeight="1"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4:31" ht="17.100000000000001" customHeight="1"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4:31" ht="17.100000000000001" customHeight="1"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4:31" ht="17.100000000000001" customHeight="1"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4:31" ht="17.100000000000001" customHeight="1"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4:31" ht="17.100000000000001" customHeight="1"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4:31" ht="17.100000000000001" customHeight="1"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4:31" ht="17.100000000000001" customHeight="1"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4:31" ht="17.100000000000001" customHeight="1"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4:31" ht="17.100000000000001" customHeight="1"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4:31" ht="17.100000000000001" customHeight="1"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4:31" ht="17.100000000000001" customHeight="1"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4:31" ht="17.100000000000001" customHeight="1"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4:31" ht="17.100000000000001" customHeight="1"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4:31" ht="17.100000000000001" customHeight="1"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4:31" ht="17.100000000000001" customHeight="1"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4:31" ht="17.100000000000001" customHeight="1"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4:31" ht="17.100000000000001" customHeight="1"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4:31" ht="17.100000000000001" customHeight="1"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4:31" ht="17.100000000000001" customHeight="1"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4:31" ht="17.100000000000001" customHeight="1"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4:31" ht="17.100000000000001" customHeight="1"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4:31" ht="17.100000000000001" customHeight="1"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4:31" ht="17.100000000000001" customHeight="1"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4:31" ht="17.100000000000001" customHeight="1"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4:31" ht="17.100000000000001" customHeight="1"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4:31" ht="17.100000000000001" customHeight="1"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4:31" ht="17.100000000000001" customHeight="1"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4:31" ht="17.100000000000001" customHeight="1"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4:31" ht="17.100000000000001" customHeight="1"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4:31" ht="17.100000000000001" customHeight="1"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4:31" ht="17.100000000000001" customHeight="1"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4:31" ht="17.100000000000001" customHeight="1"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4:31" ht="17.100000000000001" customHeight="1"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4:31" ht="17.100000000000001" customHeight="1"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4:31" ht="17.100000000000001" customHeight="1"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4:31" ht="17.100000000000001" customHeight="1"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4:31" ht="17.100000000000001" customHeight="1"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4:31" ht="17.100000000000001" customHeight="1"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4:31" ht="17.100000000000001" customHeight="1"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4:31" ht="17.100000000000001" customHeight="1"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4:31" ht="17.100000000000001" customHeight="1"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4:31" ht="17.100000000000001" customHeight="1"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4:31" ht="17.100000000000001" customHeight="1"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4:31" ht="17.100000000000001" customHeight="1"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4:31" ht="17.100000000000001" customHeight="1"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4:31" ht="17.100000000000001" customHeight="1"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4:31" ht="17.100000000000001" customHeight="1"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4:31" ht="17.100000000000001" customHeight="1"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4:31" ht="17.100000000000001" customHeight="1"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4:31" ht="17.100000000000001" customHeight="1"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4:31" ht="17.100000000000001" customHeight="1"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4:31" ht="17.100000000000001" customHeight="1"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4:31" ht="17.100000000000001" customHeight="1"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4:31" ht="17.100000000000001" customHeight="1"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4:31" ht="17.100000000000001" customHeight="1"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4:31" ht="17.100000000000001" customHeight="1"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4:31" ht="17.100000000000001" customHeight="1"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4:31" ht="17.100000000000001" customHeight="1"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4:31" ht="17.100000000000001" customHeight="1"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4:31" ht="17.100000000000001" customHeight="1"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4:31" ht="17.100000000000001" customHeight="1"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4:31" ht="17.100000000000001" customHeight="1"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4:31" ht="17.100000000000001" customHeight="1"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4:31" ht="17.100000000000001" customHeight="1"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4:31" ht="17.100000000000001" customHeight="1"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4:31" ht="17.100000000000001" customHeight="1"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4:31" ht="17.100000000000001" customHeight="1"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4:31" ht="17.100000000000001" customHeight="1"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4:31" ht="17.100000000000001" customHeight="1"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spans="4:31" ht="17.100000000000001" customHeight="1"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spans="4:31" ht="17.100000000000001" customHeight="1"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spans="4:31" ht="17.100000000000001" customHeight="1"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spans="4:31" ht="17.100000000000001" customHeight="1"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 spans="4:31" ht="17.100000000000001" customHeight="1"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 spans="4:31" ht="17.100000000000001" customHeight="1"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 spans="4:31" ht="17.100000000000001" customHeight="1"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 spans="4:31" ht="17.100000000000001" customHeight="1"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 spans="4:31" ht="17.100000000000001" customHeight="1"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 spans="4:31" ht="17.100000000000001" customHeight="1"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 spans="4:31" ht="17.100000000000001" customHeight="1"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 spans="4:31" ht="17.100000000000001" customHeight="1"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 spans="4:31" ht="17.100000000000001" customHeight="1"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 spans="4:31" ht="17.100000000000001" customHeight="1"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 spans="4:31" ht="17.100000000000001" customHeight="1"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 spans="4:31" ht="17.100000000000001" customHeight="1"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 spans="4:31" ht="17.100000000000001" customHeight="1"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spans="4:31" ht="17.100000000000001" customHeight="1"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 spans="4:31" ht="17.100000000000001" customHeight="1"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 spans="4:31" ht="17.100000000000001" customHeight="1"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 spans="4:31" ht="17.100000000000001" customHeight="1"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 spans="4:31" ht="17.100000000000001" customHeight="1"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 spans="4:31" ht="17.100000000000001" customHeight="1"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 spans="4:31" ht="17.100000000000001" customHeight="1"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 spans="4:31" ht="17.100000000000001" customHeight="1"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 spans="4:31" ht="17.100000000000001" customHeight="1"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 spans="4:31" ht="17.100000000000001" customHeight="1"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 spans="4:31" ht="17.100000000000001" customHeight="1"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 spans="4:31" ht="17.100000000000001" customHeight="1"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 spans="4:31" ht="17.100000000000001" customHeight="1"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 spans="4:31" ht="17.100000000000001" customHeight="1"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 spans="4:31" ht="17.100000000000001" customHeight="1"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 spans="4:31" ht="17.100000000000001" customHeight="1"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 spans="4:31" ht="17.100000000000001" customHeight="1"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 spans="4:31" ht="17.100000000000001" customHeight="1"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 spans="4:31" ht="17.100000000000001" customHeight="1"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 spans="4:31" ht="17.100000000000001" customHeight="1"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 spans="4:31" ht="17.100000000000001" customHeight="1"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 spans="4:31" ht="17.100000000000001" customHeight="1"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 spans="4:31" ht="17.100000000000001" customHeight="1"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 spans="4:31" ht="17.100000000000001" customHeight="1"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 spans="4:31" ht="17.100000000000001" customHeight="1"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 spans="4:31" ht="17.100000000000001" customHeight="1"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 spans="4:31" ht="17.100000000000001" customHeight="1"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 spans="4:31" ht="17.100000000000001" customHeight="1"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 spans="4:31" ht="17.100000000000001" customHeight="1"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 spans="4:31" ht="17.100000000000001" customHeight="1"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 spans="4:31" ht="17.100000000000001" customHeight="1"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 spans="4:31" ht="17.100000000000001" customHeight="1"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 spans="4:31" ht="17.100000000000001" customHeight="1"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 spans="4:31" ht="17.100000000000001" customHeight="1"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 spans="4:31" ht="17.100000000000001" customHeight="1"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 spans="4:31" ht="17.100000000000001" customHeight="1"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 spans="4:31" ht="17.100000000000001" customHeight="1"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4:31" ht="17.100000000000001" customHeight="1"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4:31" ht="17.100000000000001" customHeight="1"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4:31" ht="17.100000000000001" customHeight="1"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4:31" ht="17.100000000000001" customHeight="1"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4:31" ht="17.100000000000001" customHeight="1"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4:31" ht="17.100000000000001" customHeight="1"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4:31" ht="17.100000000000001" customHeight="1"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4:31" ht="17.100000000000001" customHeight="1"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4:31" ht="17.100000000000001" customHeight="1"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4:31" ht="17.100000000000001" customHeight="1"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4:31" ht="17.100000000000001" customHeight="1"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4:31" ht="17.100000000000001" customHeight="1"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4:31" ht="17.100000000000001" customHeight="1"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4:31" ht="17.100000000000001" customHeight="1"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4:31" ht="17.100000000000001" customHeight="1"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4:31" ht="17.100000000000001" customHeight="1"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4:31" ht="17.100000000000001" customHeight="1"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4:31" ht="17.100000000000001" customHeight="1"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4:31" ht="17.100000000000001" customHeight="1"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4:31" ht="17.100000000000001" customHeight="1"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4:31" ht="17.100000000000001" customHeight="1"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4:31" ht="17.100000000000001" customHeight="1"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4:31" ht="17.100000000000001" customHeight="1"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4:31" ht="17.100000000000001" customHeight="1"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4:31" ht="17.100000000000001" customHeight="1"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4:31" ht="17.100000000000001" customHeight="1"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4:31" ht="17.100000000000001" customHeight="1"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4:31" ht="17.100000000000001" customHeight="1"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4:31" ht="17.100000000000001" customHeight="1"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4:31" ht="17.100000000000001" customHeight="1"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4:31" ht="17.100000000000001" customHeight="1"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4:31" ht="17.100000000000001" customHeight="1"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4:31" ht="17.100000000000001" customHeight="1"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4:31" ht="17.100000000000001" customHeight="1"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4:31" ht="17.100000000000001" customHeight="1"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4:31" ht="17.100000000000001" customHeight="1"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4:31" ht="17.100000000000001" customHeight="1"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4:31" ht="17.100000000000001" customHeight="1"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4:31" ht="17.100000000000001" customHeight="1"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4:31" ht="17.100000000000001" customHeight="1"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4:31" ht="17.100000000000001" customHeight="1"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4:31" ht="17.100000000000001" customHeight="1"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4:31" ht="17.100000000000001" customHeight="1"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4:31" ht="17.100000000000001" customHeight="1"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4:31" ht="17.100000000000001" customHeight="1"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4:31" ht="17.100000000000001" customHeight="1"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4:31" ht="17.100000000000001" customHeight="1"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4:31" ht="17.100000000000001" customHeight="1"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4:31" ht="17.100000000000001" customHeight="1"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4:31" ht="17.100000000000001" customHeight="1"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4:31" ht="17.100000000000001" customHeight="1"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4:31" ht="17.100000000000001" customHeight="1"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4:31" ht="17.100000000000001" customHeight="1"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4:31" ht="17.100000000000001" customHeight="1"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4:31" ht="17.100000000000001" customHeight="1"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4:31" ht="17.100000000000001" customHeight="1"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4:31" ht="17.100000000000001" customHeight="1"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4:31" ht="17.100000000000001" customHeight="1"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4:31" ht="17.100000000000001" customHeight="1"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4:31" ht="17.100000000000001" customHeight="1"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4:31" ht="17.100000000000001" customHeight="1"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4:31" ht="17.100000000000001" customHeight="1"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4:31" ht="17.100000000000001" customHeight="1"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4:31" ht="17.100000000000001" customHeight="1"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4:31" ht="17.100000000000001" customHeight="1"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4:31" ht="17.100000000000001" customHeight="1"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4:31" ht="17.100000000000001" customHeight="1"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4:31" ht="17.100000000000001" customHeight="1"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4:31" ht="17.100000000000001" customHeight="1"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4:31" ht="17.100000000000001" customHeight="1"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4:31" ht="17.100000000000001" customHeight="1"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4:31" ht="17.100000000000001" customHeight="1"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4:31" ht="17.100000000000001" customHeight="1"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4:31" ht="17.100000000000001" customHeight="1"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4:31" ht="17.100000000000001" customHeight="1"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4:31" ht="17.100000000000001" customHeight="1"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4:31" ht="17.100000000000001" customHeight="1"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4:31" ht="17.100000000000001" customHeight="1"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4:31" ht="17.100000000000001" customHeight="1"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4:31" ht="17.100000000000001" customHeight="1"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4:31" ht="17.100000000000001" customHeight="1"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4:31" ht="17.100000000000001" customHeight="1"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4:31" ht="17.100000000000001" customHeight="1"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4:31" ht="17.100000000000001" customHeight="1"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4:31" ht="17.100000000000001" customHeight="1"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4:31" ht="17.100000000000001" customHeight="1"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4:31" ht="17.100000000000001" customHeight="1"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4:31" ht="17.100000000000001" customHeight="1"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4:31" ht="17.100000000000001" customHeight="1"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4:31" ht="17.100000000000001" customHeight="1"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4:31" ht="17.100000000000001" customHeight="1"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4:31" ht="17.100000000000001" customHeight="1"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4:31" ht="17.100000000000001" customHeight="1"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4:31" ht="17.100000000000001" customHeight="1"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4:31" ht="17.100000000000001" customHeight="1"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4:31" ht="17.100000000000001" customHeight="1"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4:31" ht="17.100000000000001" customHeight="1"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4:31" ht="17.100000000000001" customHeight="1"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4:31" ht="17.100000000000001" customHeight="1"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4:31" ht="17.100000000000001" customHeight="1"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4:31" ht="17.100000000000001" customHeight="1"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4:31" ht="17.100000000000001" customHeight="1"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4:31" ht="17.100000000000001" customHeight="1"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4:31" ht="17.100000000000001" customHeight="1"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4:31" ht="17.100000000000001" customHeight="1"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4:31" ht="17.100000000000001" customHeight="1"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4:31" ht="17.100000000000001" customHeight="1"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4:31" ht="17.100000000000001" customHeight="1"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4:31" ht="17.100000000000001" customHeight="1"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4:31" ht="17.100000000000001" customHeight="1"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4:31" ht="17.100000000000001" customHeight="1"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4:31" ht="17.100000000000001" customHeight="1"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4:31" ht="17.100000000000001" customHeight="1"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4:31" ht="17.100000000000001" customHeight="1"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4:31" ht="17.100000000000001" customHeight="1"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4:31" ht="17.100000000000001" customHeight="1"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4:31" ht="17.100000000000001" customHeight="1"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4:31" ht="17.100000000000001" customHeight="1"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4:31" ht="17.100000000000001" customHeight="1"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4:31" ht="17.100000000000001" customHeight="1"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 spans="4:31" ht="17.100000000000001" customHeight="1"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 spans="4:31" ht="17.100000000000001" customHeight="1"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 spans="4:31" ht="17.100000000000001" customHeight="1"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 spans="4:31" ht="17.100000000000001" customHeight="1"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 spans="4:31" ht="17.100000000000001" customHeight="1"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 spans="4:31" ht="17.100000000000001" customHeight="1"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 spans="4:31" ht="17.100000000000001" customHeight="1"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 spans="4:31" ht="17.100000000000001" customHeight="1"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 spans="4:31" ht="17.100000000000001" customHeight="1"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 spans="4:31" ht="17.100000000000001" customHeight="1"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 spans="4:31" ht="17.100000000000001" customHeight="1"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 spans="4:31" ht="17.100000000000001" customHeight="1"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 spans="4:31" ht="17.100000000000001" customHeight="1"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 spans="4:31" ht="17.100000000000001" customHeight="1"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spans="4:31" ht="17.100000000000001" customHeight="1"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 spans="4:31" ht="17.100000000000001" customHeight="1"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 spans="4:31" ht="17.100000000000001" customHeight="1"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 spans="4:31" ht="17.100000000000001" customHeight="1"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 spans="4:31" ht="17.100000000000001" customHeight="1"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 spans="4:31" ht="17.100000000000001" customHeight="1"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 spans="4:31" ht="17.100000000000001" customHeight="1"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 spans="4:31" ht="17.100000000000001" customHeight="1"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 spans="4:31" ht="17.100000000000001" customHeight="1"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 spans="4:31" ht="17.100000000000001" customHeight="1"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 spans="4:31" ht="17.100000000000001" customHeight="1"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 spans="4:31" ht="17.100000000000001" customHeight="1"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 spans="4:31" ht="17.100000000000001" customHeight="1"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 spans="4:31" ht="17.100000000000001" customHeight="1"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 spans="4:31" ht="17.100000000000001" customHeight="1"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 spans="4:31" ht="17.100000000000001" customHeight="1"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 spans="4:31" ht="17.100000000000001" customHeight="1"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 spans="4:31" ht="17.100000000000001" customHeight="1"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 spans="4:31" ht="17.100000000000001" customHeight="1"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 spans="4:31" ht="17.100000000000001" customHeight="1"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 spans="4:31" ht="17.100000000000001" customHeight="1"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 spans="4:31" ht="17.100000000000001" customHeight="1"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 spans="4:31" ht="17.100000000000001" customHeight="1"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 spans="4:31" ht="17.100000000000001" customHeight="1"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 spans="4:31" ht="17.100000000000001" customHeight="1"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 spans="4:31" ht="17.100000000000001" customHeight="1"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 spans="4:31" ht="17.100000000000001" customHeight="1"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 spans="4:31" ht="17.100000000000001" customHeight="1"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spans="4:31" ht="17.100000000000001" customHeight="1"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 spans="4:31" ht="17.100000000000001" customHeight="1"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 spans="4:31" ht="17.100000000000001" customHeight="1"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 spans="4:31" ht="17.100000000000001" customHeight="1"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 spans="4:31" ht="17.100000000000001" customHeight="1"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 spans="4:31" ht="17.100000000000001" customHeight="1"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 spans="4:31" ht="17.100000000000001" customHeight="1"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 spans="4:31" ht="17.100000000000001" customHeight="1"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 spans="4:31" ht="17.100000000000001" customHeight="1"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 spans="4:31" ht="17.100000000000001" customHeight="1"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 spans="4:31" ht="17.100000000000001" customHeight="1"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 spans="4:31" ht="17.100000000000001" customHeight="1"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4:31" ht="17.100000000000001" customHeight="1"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4:31" ht="17.100000000000001" customHeight="1"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4:31" ht="17.100000000000001" customHeight="1"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4:31" ht="17.100000000000001" customHeight="1"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4:31" ht="17.100000000000001" customHeight="1"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4:31" ht="17.100000000000001" customHeight="1"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4:31" ht="17.100000000000001" customHeight="1"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4:31" ht="17.100000000000001" customHeight="1"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4:31" ht="17.100000000000001" customHeight="1"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4:31" ht="17.100000000000001" customHeight="1"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4:31" ht="17.100000000000001" customHeight="1"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4:31" ht="17.100000000000001" customHeight="1"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4:31" ht="17.100000000000001" customHeight="1"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4:31" ht="17.100000000000001" customHeight="1"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4:31" ht="17.100000000000001" customHeight="1"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4:31" ht="17.100000000000001" customHeight="1"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4:31" ht="17.100000000000001" customHeight="1"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4:31" ht="17.100000000000001" customHeight="1"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4:31" ht="17.100000000000001" customHeight="1"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4:31" ht="17.100000000000001" customHeight="1"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4:31" ht="17.100000000000001" customHeight="1"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4:31" ht="17.100000000000001" customHeight="1"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4:31" ht="17.100000000000001" customHeight="1"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4:31" ht="17.100000000000001" customHeight="1"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4:31" ht="17.100000000000001" customHeight="1"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4:31" ht="17.100000000000001" customHeight="1"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4:31" ht="17.100000000000001" customHeight="1"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4:31" ht="17.100000000000001" customHeight="1"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4:31" ht="17.100000000000001" customHeight="1"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4:31" ht="17.100000000000001" customHeight="1"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4:31" ht="17.100000000000001" customHeight="1"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4:31" ht="17.100000000000001" customHeight="1"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4:31" ht="17.100000000000001" customHeight="1"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4:31" ht="17.100000000000001" customHeight="1"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4:31" ht="17.100000000000001" customHeight="1"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4:31" ht="17.100000000000001" customHeight="1"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4:31" ht="17.100000000000001" customHeight="1"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4:31" ht="17.100000000000001" customHeight="1"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4:31" ht="17.100000000000001" customHeight="1"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4:31" ht="17.100000000000001" customHeight="1"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4:31" ht="17.100000000000001" customHeight="1"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4:31" ht="17.100000000000001" customHeight="1"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4:31" ht="17.100000000000001" customHeight="1"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4:31" ht="17.100000000000001" customHeight="1"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4:31" ht="17.100000000000001" customHeight="1"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4:31" ht="17.100000000000001" customHeight="1"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4:31" ht="17.100000000000001" customHeight="1"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4:31" ht="17.100000000000001" customHeight="1"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4:31" ht="17.100000000000001" customHeight="1"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4:31" ht="17.100000000000001" customHeight="1"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4:31" ht="17.100000000000001" customHeight="1"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4:31" ht="17.100000000000001" customHeight="1"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4:31" ht="17.100000000000001" customHeight="1"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4:31" ht="17.100000000000001" customHeight="1"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4:31" ht="17.100000000000001" customHeight="1"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4:31" ht="17.100000000000001" customHeight="1"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4:31" ht="17.100000000000001" customHeight="1"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4:31" ht="17.100000000000001" customHeight="1"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4:31" ht="17.100000000000001" customHeight="1"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4:31" ht="17.100000000000001" customHeight="1"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4:31" ht="17.100000000000001" customHeight="1"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4:31" ht="17.100000000000001" customHeight="1"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4:31" ht="17.100000000000001" customHeight="1"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4:31" ht="17.100000000000001" customHeight="1"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4:31" ht="17.100000000000001" customHeight="1"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4:31" ht="17.100000000000001" customHeight="1"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4:31" ht="17.100000000000001" customHeight="1"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4:31" ht="17.100000000000001" customHeight="1"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4:31" ht="17.100000000000001" customHeight="1"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4:31" ht="17.100000000000001" customHeight="1"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4:31" ht="17.100000000000001" customHeight="1"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4:31" ht="17.100000000000001" customHeight="1"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4:31" ht="17.100000000000001" customHeight="1"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4:31" ht="17.100000000000001" customHeight="1"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4:31" ht="17.100000000000001" customHeight="1"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4:31" ht="17.100000000000001" customHeight="1"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4:31" ht="17.100000000000001" customHeight="1"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4:31" ht="17.100000000000001" customHeight="1"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4:31" ht="17.100000000000001" customHeight="1"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4:31" ht="17.100000000000001" customHeight="1"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4:31" ht="17.100000000000001" customHeight="1"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4:31" ht="17.100000000000001" customHeight="1"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4:31" ht="17.100000000000001" customHeight="1"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4:31" ht="17.100000000000001" customHeight="1"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4:31" ht="17.100000000000001" customHeight="1"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4:31" ht="17.100000000000001" customHeight="1"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4:31" ht="17.100000000000001" customHeight="1"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4:31" ht="17.100000000000001" customHeight="1"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4:31" ht="17.100000000000001" customHeight="1"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4:31" ht="17.100000000000001" customHeight="1"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4:31" ht="17.100000000000001" customHeight="1"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4:31" ht="17.100000000000001" customHeight="1"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4:31" ht="17.100000000000001" customHeight="1"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4:31" ht="17.100000000000001" customHeight="1"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4:31" ht="17.100000000000001" customHeight="1"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4:31" ht="17.100000000000001" customHeight="1"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4:31" ht="17.100000000000001" customHeight="1"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4:31" ht="17.100000000000001" customHeight="1"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4:31" ht="17.100000000000001" customHeight="1"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4:31" ht="17.100000000000001" customHeight="1"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4:31" ht="17.100000000000001" customHeight="1"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4:31" ht="17.100000000000001" customHeight="1"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4:31" ht="17.100000000000001" customHeight="1"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4:31" ht="17.100000000000001" customHeight="1"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4:31" ht="17.100000000000001" customHeight="1"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4:31" ht="17.100000000000001" customHeight="1"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4:31" ht="17.100000000000001" customHeight="1"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4:31" ht="17.100000000000001" customHeight="1"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4:31" ht="17.100000000000001" customHeight="1"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4:31" ht="17.100000000000001" customHeight="1"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4:31" ht="17.100000000000001" customHeight="1"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4:31" ht="17.100000000000001" customHeight="1"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4:31" ht="17.100000000000001" customHeight="1"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4:31" ht="17.100000000000001" customHeight="1"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4:31" ht="17.100000000000001" customHeight="1"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4:31" ht="17.100000000000001" customHeight="1"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4:31" ht="17.100000000000001" customHeight="1"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4:31" ht="17.100000000000001" customHeight="1"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4:31" ht="17.100000000000001" customHeight="1"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4:31" ht="17.100000000000001" customHeight="1"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 spans="4:31" ht="17.100000000000001" customHeight="1"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 spans="4:31" ht="17.100000000000001" customHeight="1"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 spans="4:31" ht="17.100000000000001" customHeight="1"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 spans="4:31" ht="17.100000000000001" customHeight="1"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 spans="4:31" ht="17.100000000000001" customHeight="1"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 spans="4:31" ht="17.100000000000001" customHeight="1"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 spans="4:31" ht="17.100000000000001" customHeight="1"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 spans="4:31" ht="17.100000000000001" customHeight="1"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 spans="4:31" ht="17.100000000000001" customHeight="1"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 spans="4:31" ht="17.100000000000001" customHeight="1"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 spans="4:31" ht="17.100000000000001" customHeight="1"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 spans="4:31" ht="17.100000000000001" customHeight="1"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 spans="4:31" ht="17.100000000000001" customHeight="1"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 spans="4:31" ht="17.100000000000001" customHeight="1"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spans="4:31" ht="17.100000000000001" customHeight="1"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 spans="4:31" ht="17.100000000000001" customHeight="1"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 spans="4:31" ht="17.100000000000001" customHeight="1"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 spans="4:31" ht="17.100000000000001" customHeight="1"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 spans="4:31" ht="17.100000000000001" customHeight="1"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 spans="4:31" ht="17.100000000000001" customHeight="1"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 spans="4:31" ht="17.100000000000001" customHeight="1"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 spans="4:31" ht="17.100000000000001" customHeight="1"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 spans="4:31" ht="17.100000000000001" customHeight="1"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 spans="4:31" ht="17.100000000000001" customHeight="1"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 spans="4:31" ht="17.100000000000001" customHeight="1"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 spans="4:31" ht="17.100000000000001" customHeight="1"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 spans="4:31" ht="17.100000000000001" customHeight="1"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 spans="4:31" ht="17.100000000000001" customHeight="1"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 spans="4:31" ht="17.100000000000001" customHeight="1"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 spans="4:31" ht="17.100000000000001" customHeight="1"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 spans="4:31" ht="17.100000000000001" customHeight="1"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 spans="4:31" ht="17.100000000000001" customHeight="1"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 spans="4:31" ht="17.100000000000001" customHeight="1"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 spans="4:31" ht="17.100000000000001" customHeight="1"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 spans="4:31" ht="17.100000000000001" customHeight="1"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 spans="4:31" ht="17.100000000000001" customHeight="1"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 spans="4:31" ht="17.100000000000001" customHeight="1"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 spans="4:31" ht="17.100000000000001" customHeight="1"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 spans="4:31" ht="17.100000000000001" customHeight="1"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 spans="4:31" ht="17.100000000000001" customHeight="1"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 spans="4:31" ht="17.100000000000001" customHeight="1"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 spans="4:31" ht="17.100000000000001" customHeight="1"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 spans="4:31" ht="17.100000000000001" customHeight="1"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 spans="4:31" ht="17.100000000000001" customHeight="1"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 spans="4:31" ht="17.100000000000001" customHeight="1"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 spans="4:31" ht="17.100000000000001" customHeight="1"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 spans="4:31" ht="17.100000000000001" customHeight="1"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 spans="4:31" ht="17.100000000000001" customHeight="1"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 spans="4:31" ht="17.100000000000001" customHeight="1"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 spans="4:31" ht="17.100000000000001" customHeight="1"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 spans="4:31" ht="17.100000000000001" customHeight="1"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 spans="4:31" ht="17.100000000000001" customHeight="1"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 spans="4:31" ht="17.100000000000001" customHeight="1"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 spans="4:31" ht="17.100000000000001" customHeight="1"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4:31" ht="17.100000000000001" customHeight="1"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4:31" ht="17.100000000000001" customHeight="1"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4:31" ht="17.100000000000001" customHeight="1"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4:31" ht="17.100000000000001" customHeight="1"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4:31" ht="17.100000000000001" customHeight="1"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4:31" ht="17.100000000000001" customHeight="1"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4:31" ht="17.100000000000001" customHeight="1"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4:31" ht="17.100000000000001" customHeight="1"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4:31" ht="17.100000000000001" customHeight="1"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4:31" ht="17.100000000000001" customHeight="1"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4:31" ht="17.100000000000001" customHeight="1"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4:31" ht="17.100000000000001" customHeight="1"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4:31" ht="17.100000000000001" customHeight="1"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4:31" ht="17.100000000000001" customHeight="1"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4:31" ht="17.100000000000001" customHeight="1"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4:31" ht="17.100000000000001" customHeight="1"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4:31" ht="17.100000000000001" customHeight="1"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4:31" ht="17.100000000000001" customHeight="1"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4:31" ht="17.100000000000001" customHeight="1"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4:31" ht="17.100000000000001" customHeight="1"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4:31" ht="17.100000000000001" customHeight="1"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4:31" ht="17.100000000000001" customHeight="1"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4:31" ht="17.100000000000001" customHeight="1"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4:31" ht="17.100000000000001" customHeight="1"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4:31" ht="17.100000000000001" customHeight="1"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4:31" ht="17.100000000000001" customHeight="1"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4:31" ht="17.100000000000001" customHeight="1"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4:31" ht="17.100000000000001" customHeight="1"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4:31" ht="17.100000000000001" customHeight="1"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4:31" ht="17.100000000000001" customHeight="1"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4:31" ht="17.100000000000001" customHeight="1"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4:31" ht="17.100000000000001" customHeight="1"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4:31" ht="17.100000000000001" customHeight="1"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4:31" ht="17.100000000000001" customHeight="1"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4:31" ht="17.100000000000001" customHeight="1"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4:31" ht="17.100000000000001" customHeight="1"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4:31" ht="17.100000000000001" customHeight="1"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4:31" ht="17.100000000000001" customHeight="1"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4:31" ht="17.100000000000001" customHeight="1"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4:31" ht="17.100000000000001" customHeight="1"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4:31" ht="17.100000000000001" customHeight="1"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4:31" ht="17.100000000000001" customHeight="1"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4:31" ht="17.100000000000001" customHeight="1"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4:31" ht="17.100000000000001" customHeight="1"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4:31" ht="17.100000000000001" customHeight="1"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4:31" ht="17.100000000000001" customHeight="1"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4:31" ht="17.100000000000001" customHeight="1"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4:31" ht="17.100000000000001" customHeight="1"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4:31" ht="17.100000000000001" customHeight="1"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 spans="4:31" ht="17.100000000000001" customHeight="1"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 spans="4:31" ht="17.100000000000001" customHeight="1"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 spans="4:31" ht="17.100000000000001" customHeight="1"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 spans="4:31" ht="17.100000000000001" customHeight="1"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 spans="4:31" ht="17.100000000000001" customHeight="1"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 spans="4:31" ht="17.100000000000001" customHeight="1"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 spans="4:31" ht="17.100000000000001" customHeight="1"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 spans="4:31" ht="17.100000000000001" customHeight="1"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 spans="4:31" ht="17.100000000000001" customHeight="1"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 spans="4:31" ht="17.100000000000001" customHeight="1"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 spans="4:31" ht="17.100000000000001" customHeight="1"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 spans="4:31" ht="17.100000000000001" customHeight="1"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 spans="4:31" ht="17.100000000000001" customHeight="1"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 spans="4:31" ht="17.100000000000001" customHeight="1"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 spans="4:31" ht="17.100000000000001" customHeight="1"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 spans="4:31" ht="17.100000000000001" customHeight="1"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 spans="4:31" ht="17.100000000000001" customHeight="1"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 spans="4:31" ht="17.100000000000001" customHeight="1"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 spans="4:31" ht="17.100000000000001" customHeight="1"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 spans="4:31" ht="17.100000000000001" customHeight="1"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 spans="4:31" ht="17.100000000000001" customHeight="1"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 spans="4:31" ht="17.100000000000001" customHeight="1"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 spans="4:31" ht="17.100000000000001" customHeight="1"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 spans="4:31" ht="17.100000000000001" customHeight="1"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 spans="4:31" ht="17.100000000000001" customHeight="1"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 spans="4:31" ht="17.100000000000001" customHeight="1"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 spans="4:31" ht="17.100000000000001" customHeight="1"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 spans="4:31" ht="17.100000000000001" customHeight="1"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 spans="4:31" ht="17.100000000000001" customHeight="1"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 spans="4:31" ht="17.100000000000001" customHeight="1"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 spans="4:31" ht="17.100000000000001" customHeight="1"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 spans="4:31" ht="17.100000000000001" customHeight="1"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 spans="4:31" ht="17.100000000000001" customHeight="1"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 spans="4:31" ht="17.100000000000001" customHeight="1"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 spans="4:31" ht="17.100000000000001" customHeight="1"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 spans="4:31" ht="17.100000000000001" customHeight="1"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 spans="4:31" ht="17.100000000000001" customHeight="1"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 spans="4:31" ht="17.100000000000001" customHeight="1"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 spans="4:31" ht="17.100000000000001" customHeight="1"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 spans="4:31" ht="17.100000000000001" customHeight="1"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 spans="4:31" ht="17.100000000000001" customHeight="1"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spans="4:31" ht="17.100000000000001" customHeight="1"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 spans="4:31" ht="17.100000000000001" customHeight="1"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 spans="4:31" ht="17.100000000000001" customHeight="1"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 spans="4:31" ht="17.100000000000001" customHeight="1"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 spans="4:31" ht="17.100000000000001" customHeight="1"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 spans="4:31" ht="17.100000000000001" customHeight="1"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 spans="4:31" ht="17.100000000000001" customHeight="1"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 spans="4:31" ht="17.100000000000001" customHeight="1"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 spans="4:31" ht="17.100000000000001" customHeight="1"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 spans="4:31" ht="17.100000000000001" customHeight="1"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 spans="4:31" ht="17.100000000000001" customHeight="1"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 spans="4:31" ht="17.100000000000001" customHeight="1"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 spans="4:31" ht="17.100000000000001" customHeight="1"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 spans="4:31" ht="17.100000000000001" customHeight="1"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 spans="4:31" ht="17.100000000000001" customHeight="1"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 spans="4:31" ht="17.100000000000001" customHeight="1"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 spans="4:31" ht="17.100000000000001" customHeight="1"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 spans="4:31" ht="17.100000000000001" customHeight="1"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 spans="4:31" ht="17.100000000000001" customHeight="1"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 spans="4:31" ht="17.100000000000001" customHeight="1"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 spans="4:31" ht="17.100000000000001" customHeight="1"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 spans="4:31" ht="17.100000000000001" customHeight="1"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 spans="4:31" ht="17.100000000000001" customHeight="1"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 spans="4:31" ht="17.100000000000001" customHeight="1"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 spans="4:31" ht="17.100000000000001" customHeight="1"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 spans="4:31" ht="17.100000000000001" customHeight="1"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 spans="4:31" ht="17.100000000000001" customHeight="1"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 spans="4:31" ht="17.100000000000001" customHeight="1"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 spans="4:31" ht="17.100000000000001" customHeight="1"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 spans="4:31" ht="17.100000000000001" customHeight="1"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 spans="4:31" ht="17.100000000000001" customHeight="1"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 spans="4:31" ht="17.100000000000001" customHeight="1"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 spans="4:31" ht="17.100000000000001" customHeight="1"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 spans="4:31" ht="17.100000000000001" customHeight="1"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 spans="4:31" ht="17.100000000000001" customHeight="1"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 spans="4:31" ht="17.100000000000001" customHeight="1"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 spans="4:31" ht="17.100000000000001" customHeight="1"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 spans="4:31" ht="17.100000000000001" customHeight="1"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 spans="4:31" ht="17.100000000000001" customHeight="1"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 spans="4:31" ht="17.100000000000001" customHeight="1"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 spans="4:31" ht="17.100000000000001" customHeight="1"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 spans="4:31" ht="17.100000000000001" customHeight="1"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 spans="4:31" ht="17.100000000000001" customHeight="1"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spans="4:31" ht="17.100000000000001" customHeight="1"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 spans="4:31" ht="17.100000000000001" customHeight="1"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 spans="4:31" ht="17.100000000000001" customHeight="1"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 spans="4:31" ht="17.100000000000001" customHeight="1"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 spans="4:31" ht="17.100000000000001" customHeight="1"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 spans="4:31" ht="17.100000000000001" customHeight="1"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 spans="4:31" ht="17.100000000000001" customHeight="1"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 spans="4:31" ht="17.100000000000001" customHeight="1"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 spans="4:31" ht="17.100000000000001" customHeight="1"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 spans="4:31" ht="17.100000000000001" customHeight="1"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 spans="4:31" ht="17.100000000000001" customHeight="1"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 spans="4:31" ht="17.100000000000001" customHeight="1"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 spans="4:31" ht="17.100000000000001" customHeight="1"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 spans="4:31" ht="17.100000000000001" customHeight="1"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 spans="4:31" ht="17.100000000000001" customHeight="1"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 spans="4:31" ht="17.100000000000001" customHeight="1"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 spans="4:31" ht="17.100000000000001" customHeight="1"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 spans="4:31" ht="17.100000000000001" customHeight="1"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 spans="4:31" ht="17.100000000000001" customHeight="1"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 spans="4:31" ht="17.100000000000001" customHeight="1"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 spans="4:31" ht="17.100000000000001" customHeight="1"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 spans="4:31" ht="17.100000000000001" customHeight="1"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 spans="4:31" ht="17.100000000000001" customHeight="1"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 spans="4:31" ht="17.100000000000001" customHeight="1"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 spans="4:31" ht="17.100000000000001" customHeight="1"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 spans="4:31" ht="17.100000000000001" customHeight="1"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 spans="4:31" ht="17.100000000000001" customHeight="1"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 spans="4:31" ht="17.100000000000001" customHeight="1"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 spans="4:31" ht="17.100000000000001" customHeight="1"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 spans="4:31" ht="17.100000000000001" customHeight="1"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 spans="4:31" ht="17.100000000000001" customHeight="1"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 spans="4:31" ht="17.100000000000001" customHeight="1"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 spans="4:31" ht="17.100000000000001" customHeight="1"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 spans="4:31" ht="17.100000000000001" customHeight="1"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 spans="4:31" ht="17.100000000000001" customHeight="1"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 spans="4:31" ht="17.100000000000001" customHeight="1"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 spans="4:31" ht="17.100000000000001" customHeight="1"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 spans="4:31" ht="17.100000000000001" customHeight="1"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 spans="4:31" ht="17.100000000000001" customHeight="1"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 spans="4:31" ht="17.100000000000001" customHeight="1"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 spans="4:31" ht="17.100000000000001" customHeight="1"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 spans="4:31" ht="17.100000000000001" customHeight="1"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 spans="4:31" ht="17.100000000000001" customHeight="1"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 spans="4:31" ht="17.100000000000001" customHeight="1"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 spans="4:31" ht="17.100000000000001" customHeight="1"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 spans="4:31" ht="17.100000000000001" customHeight="1"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 spans="4:31" ht="17.100000000000001" customHeight="1"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 spans="4:31" ht="17.100000000000001" customHeight="1"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 spans="4:31" ht="17.100000000000001" customHeight="1"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 spans="4:31" ht="17.100000000000001" customHeight="1"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 spans="4:31" ht="17.100000000000001" customHeight="1"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 spans="4:31" ht="17.100000000000001" customHeight="1"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 spans="4:31" ht="17.100000000000001" customHeight="1"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 spans="4:31" ht="17.100000000000001" customHeight="1"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 spans="4:31" ht="17.100000000000001" customHeight="1"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 spans="4:31" ht="17.100000000000001" customHeight="1"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 spans="4:31" ht="17.100000000000001" customHeight="1"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 spans="4:31" ht="17.100000000000001" customHeight="1"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 spans="4:31" ht="17.100000000000001" customHeight="1"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 spans="4:31" ht="17.100000000000001" customHeight="1"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 spans="4:31" ht="17.100000000000001" customHeight="1"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 spans="4:31" ht="17.100000000000001" customHeight="1"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 spans="4:31" ht="17.100000000000001" customHeight="1"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 spans="4:31" ht="17.100000000000001" customHeight="1"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 spans="4:31" ht="17.100000000000001" customHeight="1"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 spans="4:31" ht="17.100000000000001" customHeight="1"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 spans="4:31" ht="17.100000000000001" customHeight="1"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 spans="4:31" ht="17.100000000000001" customHeight="1"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 spans="4:31" ht="17.100000000000001" customHeight="1"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 spans="4:31" ht="17.100000000000001" customHeight="1"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 spans="4:31" ht="17.100000000000001" customHeight="1"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 spans="4:31" ht="17.100000000000001" customHeight="1"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 spans="4:31" ht="17.100000000000001" customHeight="1"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 spans="4:31" ht="17.100000000000001" customHeight="1"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 spans="4:31" ht="17.100000000000001" customHeight="1"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 spans="4:31" ht="17.100000000000001" customHeight="1"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 spans="4:31" ht="17.100000000000001" customHeight="1"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 spans="4:31" ht="17.100000000000001" customHeight="1"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 spans="4:31" ht="17.100000000000001" customHeight="1"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 spans="4:31" ht="17.100000000000001" customHeight="1"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 spans="4:31" ht="17.100000000000001" customHeight="1"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 spans="4:31" ht="17.100000000000001" customHeight="1"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 spans="4:31" ht="17.100000000000001" customHeight="1"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spans="4:31" ht="17.100000000000001" customHeight="1"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 spans="4:31" ht="17.100000000000001" customHeight="1"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 spans="4:31" ht="17.100000000000001" customHeight="1"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 spans="4:31" ht="17.100000000000001" customHeight="1"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 spans="4:31" ht="17.100000000000001" customHeight="1"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 spans="4:31" ht="17.100000000000001" customHeight="1"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 spans="4:31" ht="17.100000000000001" customHeight="1"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 spans="4:31" ht="17.100000000000001" customHeight="1"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 spans="4:31" ht="17.100000000000001" customHeight="1"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 spans="4:31" ht="17.100000000000001" customHeight="1"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 spans="4:31" ht="17.100000000000001" customHeight="1"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 spans="4:31" ht="17.100000000000001" customHeight="1"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 spans="4:31" ht="17.100000000000001" customHeight="1"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 spans="4:31" ht="17.100000000000001" customHeight="1"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 spans="4:31" ht="17.100000000000001" customHeight="1"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 spans="4:31" ht="17.100000000000001" customHeight="1"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 spans="4:31" ht="17.100000000000001" customHeight="1"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 spans="4:31" ht="17.100000000000001" customHeight="1"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 spans="4:31" ht="17.100000000000001" customHeight="1"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 spans="4:31" ht="17.100000000000001" customHeight="1"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 spans="4:31" ht="17.100000000000001" customHeight="1"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 spans="4:31" ht="17.100000000000001" customHeight="1"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 spans="4:31" ht="17.100000000000001" customHeight="1"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 spans="4:31" ht="17.100000000000001" customHeight="1"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 spans="4:31" ht="17.100000000000001" customHeight="1"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 spans="4:31" ht="17.100000000000001" customHeight="1"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 spans="4:31" ht="17.100000000000001" customHeight="1"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 spans="4:31" ht="17.100000000000001" customHeight="1"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 spans="4:31" ht="17.100000000000001" customHeight="1"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 spans="4:31" ht="17.100000000000001" customHeight="1"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 spans="4:31" ht="17.100000000000001" customHeight="1"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 spans="4:31" ht="17.100000000000001" customHeight="1"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 spans="4:31" ht="17.100000000000001" customHeight="1"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 spans="4:31" ht="17.100000000000001" customHeight="1"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 spans="4:31" ht="17.100000000000001" customHeight="1"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 spans="4:31" ht="17.100000000000001" customHeight="1"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 spans="4:31" ht="17.100000000000001" customHeight="1"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 spans="4:31" ht="17.100000000000001" customHeight="1"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 spans="4:31" ht="17.100000000000001" customHeight="1"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 spans="4:31" ht="17.100000000000001" customHeight="1"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 spans="4:31" ht="17.100000000000001" customHeight="1"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spans="4:31" ht="17.100000000000001" customHeight="1"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 spans="4:31" ht="17.100000000000001" customHeight="1"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 spans="4:31" ht="17.100000000000001" customHeight="1"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 spans="4:31" ht="17.100000000000001" customHeight="1"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 spans="4:31" ht="17.100000000000001" customHeight="1"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 spans="4:31" ht="17.100000000000001" customHeight="1"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 spans="4:31" ht="17.100000000000001" customHeight="1"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spans="4:31" ht="17.100000000000001" customHeight="1"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 spans="4:31" ht="17.100000000000001" customHeight="1"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 spans="4:31" ht="17.100000000000001" customHeight="1"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 spans="4:31" ht="17.100000000000001" customHeight="1"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 spans="4:31" ht="17.100000000000001" customHeight="1"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 spans="4:31" ht="17.100000000000001" customHeight="1"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 spans="4:31" ht="17.100000000000001" customHeight="1"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 spans="4:31" ht="17.100000000000001" customHeight="1"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 spans="4:31" ht="17.100000000000001" customHeight="1"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 spans="4:31" ht="17.100000000000001" customHeight="1"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 spans="4:31" ht="17.100000000000001" customHeight="1"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 spans="4:31" ht="17.100000000000001" customHeight="1"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 spans="4:31" ht="17.100000000000001" customHeight="1"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 spans="4:31" ht="17.100000000000001" customHeight="1"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 spans="4:31" ht="17.100000000000001" customHeight="1"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 spans="4:31" ht="17.100000000000001" customHeight="1"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 spans="4:31" ht="17.100000000000001" customHeight="1"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 spans="4:31" ht="17.100000000000001" customHeight="1"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 spans="4:31" ht="17.100000000000001" customHeight="1"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 spans="4:31" ht="17.100000000000001" customHeight="1"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 spans="4:31" ht="17.100000000000001" customHeight="1"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 spans="4:31" ht="17.100000000000001" customHeight="1"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 spans="4:31" ht="17.100000000000001" customHeight="1"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 spans="4:31" ht="17.100000000000001" customHeight="1"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 spans="4:31" ht="17.100000000000001" customHeight="1"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 spans="4:31" ht="17.100000000000001" customHeight="1"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 spans="4:31" ht="17.100000000000001" customHeight="1"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 spans="4:31" ht="17.100000000000001" customHeight="1"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 spans="4:31" ht="17.100000000000001" customHeight="1"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 spans="4:31" ht="17.100000000000001" customHeight="1"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 spans="4:31" ht="17.100000000000001" customHeight="1"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 spans="4:31" ht="17.100000000000001" customHeight="1"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 spans="4:31" ht="17.100000000000001" customHeight="1"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 spans="4:31" ht="17.100000000000001" customHeight="1"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 spans="4:31" ht="17.100000000000001" customHeight="1"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 spans="4:31" ht="17.100000000000001" customHeight="1"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 spans="4:31" ht="17.100000000000001" customHeight="1"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  <row r="1001" spans="4:31" ht="17.100000000000001" customHeight="1"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</row>
  </sheetData>
  <sheetProtection algorithmName="SHA-512" hashValue="eA5Njl6r9hbdM3YfRKyYYByWjuZp6lLJ2uetTnLpLQ5cefEAgUBn4UGAWRDgsXM/mvby4uwt1bPVxmygYjQCSA==" saltValue="3W2cmkd8kZ4z/g5z2J7UcA==" spinCount="100000" sheet="1" objects="1" scenarios="1" formatCells="0" formatColumns="0" formatRows="0" sort="0" autoFilter="0"/>
  <phoneticPr fontId="5" type="noConversion"/>
  <dataValidations count="4">
    <dataValidation type="decimal" allowBlank="1" showInputMessage="1" showErrorMessage="1" errorTitle="north_axis" error="0'&lt;= 건물방위 &lt; 360' 의 범위를 만족하여야 합니다." sqref="F3" xr:uid="{00000000-0002-0000-0000-000000000000}">
      <formula1>0</formula1>
      <formula2>359.99</formula2>
    </dataValidation>
    <dataValidation allowBlank="1" showInputMessage="1" showErrorMessage="1" promptTitle="건물정보_허가일자" prompt="YYYY-MM-DD 형식으로 입력" sqref="K2" xr:uid="{00000000-0002-0000-0000-000004000000}"/>
    <dataValidation type="custom" allowBlank="1" showInputMessage="1" showErrorMessage="1" errorTitle="허가일자" error="YYYY-MM-DD의 형태로 입력하여야 합니다." sqref="K3" xr:uid="{00000000-0002-0000-0000-000006000000}">
      <formula1>AND(ISNUMBER(VALUE(LEFT(K3,4))), MID(K3,5,1)="-", ISNUMBER(VALUE(MID(K3,6,2))), MID(K3,8,1)="-", ISNUMBER(VALUE(RIGHT(K3,2))), LEN(K3)=10)</formula1>
    </dataValidation>
    <dataValidation type="whole" operator="greaterThanOrEqual" allowBlank="1" showInputMessage="1" showErrorMessage="1" errorTitle="층수 입력" error="정수로 입력하여야 합니다._x000a_(예: 1, 2, 등)" sqref="I3:J3" xr:uid="{2E8D6B9E-85E5-44F9-90DF-A33D46239D43}">
      <formula1>0</formula1>
    </dataValidation>
  </dataValidations>
  <pageMargins left="0.7" right="0.7" top="0.75" bottom="0.75" header="0.3" footer="0.3"/>
  <ignoredErrors>
    <ignoredError sqref="H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870B3C-8B5D-4BD0-B009-E058C8AE7A8E}">
          <x14:formula1>
            <xm:f>참조!$M$2:$M$253</xm:f>
          </x14:formula1>
          <xm:sqref>G3</xm:sqref>
        </x14:dataValidation>
        <x14:dataValidation type="list" allowBlank="1" showInputMessage="1" showErrorMessage="1" xr:uid="{39A23E36-EF16-4250-9F52-47719FB095F6}">
          <x14:formula1>
            <xm:f>참조!$Q$2:$Q$3</xm:f>
          </x14:formula1>
          <xm:sqref>E3</xm:sqref>
        </x14:dataValidation>
        <x14:dataValidation type="list" allowBlank="1" showInputMessage="1" showErrorMessage="1" xr:uid="{7210A93D-754B-40BB-B5FA-88858C74B697}">
          <x14:formula1>
            <xm:f>참조!$O$2:$O$3</xm:f>
          </x14:formula1>
          <xm:sqref>M3</xm:sqref>
        </x14:dataValidation>
        <x14:dataValidation type="list" allowBlank="1" showInputMessage="1" showErrorMessage="1" xr:uid="{E80569E9-58D8-4ED2-9081-985FC87B63CD}">
          <x14:formula1>
            <xm:f>참조!$P$2:$P$8</xm:f>
          </x14:formula1>
          <xm:sqref>N3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O560"/>
  <sheetViews>
    <sheetView zoomScale="85" zoomScaleNormal="85" workbookViewId="0">
      <pane ySplit="2" topLeftCell="A3" activePane="bottomLeft" state="frozen"/>
      <selection pane="bottomLeft" activeCell="N3" sqref="N3"/>
    </sheetView>
  </sheetViews>
  <sheetFormatPr defaultColWidth="12.5703125" defaultRowHeight="17.100000000000001" customHeight="1"/>
  <cols>
    <col min="1" max="1" width="1.42578125" style="15" customWidth="1"/>
    <col min="2" max="2" width="11.7109375" style="79" customWidth="1"/>
    <col min="3" max="3" width="17.42578125" style="79" bestFit="1" customWidth="1"/>
    <col min="4" max="4" width="26.42578125" style="79" customWidth="1"/>
    <col min="5" max="5" width="16.85546875" style="79" bestFit="1" customWidth="1"/>
    <col min="6" max="6" width="20.28515625" style="79" bestFit="1" customWidth="1"/>
    <col min="7" max="7" width="21.140625" style="79" bestFit="1" customWidth="1"/>
    <col min="8" max="8" width="51.85546875" style="5" customWidth="1"/>
    <col min="9" max="9" width="39.7109375" style="5" bestFit="1" customWidth="1"/>
    <col min="10" max="10" width="29.5703125" style="5" customWidth="1"/>
    <col min="11" max="11" width="14.42578125" style="19" bestFit="1" customWidth="1"/>
    <col min="12" max="12" width="22" style="18" bestFit="1" customWidth="1"/>
    <col min="13" max="13" width="3.42578125" style="17" customWidth="1"/>
    <col min="14" max="14" width="17.42578125" style="17" customWidth="1"/>
    <col min="15" max="15" width="18" style="17" customWidth="1"/>
    <col min="16" max="16384" width="12.5703125" style="17"/>
  </cols>
  <sheetData>
    <row r="1" spans="1:15" ht="5.25" customHeight="1">
      <c r="B1" s="5"/>
      <c r="C1" s="5"/>
      <c r="D1" s="5"/>
      <c r="E1" s="5"/>
      <c r="F1" s="5"/>
      <c r="G1" s="5"/>
      <c r="K1" s="39"/>
      <c r="L1" s="40"/>
    </row>
    <row r="2" spans="1:15" ht="17.100000000000001" customHeight="1">
      <c r="A2" s="10"/>
      <c r="B2" s="12" t="s">
        <v>7</v>
      </c>
      <c r="C2" s="12" t="s">
        <v>560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6" t="s">
        <v>16</v>
      </c>
      <c r="N2" s="65" t="s">
        <v>581</v>
      </c>
      <c r="O2" s="65" t="s">
        <v>582</v>
      </c>
    </row>
    <row r="3" spans="1:15" ht="17.100000000000001" customHeight="1">
      <c r="B3" s="6"/>
      <c r="C3" s="6"/>
      <c r="D3" s="6"/>
      <c r="E3" s="6"/>
      <c r="F3" s="6"/>
      <c r="G3" s="35"/>
      <c r="H3" s="42" t="str" cm="1">
        <f t="array" ref="H3">IF($D3="","",IFERROR(_xlfn.LET(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_xlpm.matched,_xlfn._xlws.FILTER(_xlpm.types,(_xlpm.rooms=$D3)*ISNUMBER(MATCH(_xlpm.types,_xlpm.valid,0))),
_xlpm.uniqueTypes,_xlfn.UNIQUE(_xlpm.matched),
_xlpm.nums,_xlfn.MAP(_xlpm.uniqueTypes,_xlfn.LAMBDA(_xlpm.t,SUM(_xlfn._xlws.FILTER(_xlpm.qty,(_xlpm.rooms=$D3)*(_xlpm.types=_xlpm.t))))),
_xlfn.TEXTJOIN(", ",TRUE,
IF(
ISNUMBER(MATCH(_xlpm.uniqueTypes,{"바닥난방","전기바닥난방"},0)),
_xlpm.uniqueTypes,
_xlpm.uniqueTypes&amp;"("&amp;_xlpm.nums&amp;")"
))
),"-"))</f>
        <v/>
      </c>
      <c r="I3" s="42" t="str" cm="1">
        <f t="array" ref="I3">IF($D3="","",IFERROR(_xlfn.LET(_xlpm.types,공급설비!$C$3:$C$102,_xlpm.qty,공급설비!$G$3:$G$102,_xlpm.rooms,공급설비!$I$3:$I$102,_xlpm.valid,{"패키지에어컨","공조기","팬코일유닛"},_xlpm.matched,_xlfn._xlws.FILTER(_xlpm.types,(_xlpm.rooms=$D3)*ISNUMBER(MATCH(_xlpm.types,_xlpm.valid,0))),_xlpm.uniqueTypes,_xlfn.UNIQUE(_xlpm.matched),_xlfn.TEXTJOIN(", ",TRUE,_xlpm.uniqueTypes&amp;"("&amp;_xlfn.MAP(_xlpm.uniqueTypes,_xlfn.LAMBDA(_xlpm.t,SUM(_xlfn._xlws.FILTER(_xlpm.qty,(_xlpm.rooms=$D3)*(_xlpm.types=_xlpm.t)))))&amp;")")),"-"))</f>
        <v/>
      </c>
      <c r="J3" s="42" t="str" cm="1">
        <f t="array" ref="J3">IF($D3="","",IFERROR(_xlfn.TEXTJOIN(", ",TRUE,_xlfn._xlws.FILTER(환기설비!$B$3:$B$1006&amp;IF(환기설비!$F$3:$F$1006&lt;&gt;"","("&amp;환기설비!$F$3:$F$1006&amp;")",""),환기설비!$G$3:$G$1006=$D3)),""))</f>
        <v/>
      </c>
      <c r="K3" s="43">
        <f>COUNTIF(면!C:C,D3)+COUNTIF(면!H:H,D3)</f>
        <v>0</v>
      </c>
      <c r="L3" s="44">
        <f>SUMIFS(면!F:F, 면!C:C, D3, 면!D:D, "floor") + SUMIFS(면!F:F, 면!H:H, D3, 면!D:D, "ceiling")</f>
        <v>0</v>
      </c>
      <c r="N3" s="93"/>
      <c r="O3" s="93" t="s">
        <v>610</v>
      </c>
    </row>
    <row r="4" spans="1:15" ht="17.100000000000001" customHeight="1">
      <c r="B4" s="6"/>
      <c r="C4" s="6"/>
      <c r="D4" s="6"/>
      <c r="E4" s="6"/>
      <c r="F4" s="6"/>
      <c r="G4" s="35"/>
      <c r="H4" s="42" t="str" cm="1">
        <f t="array" ref="H4">IF($D4="","",IFERROR(_xlfn.LET(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_xlpm.matched,_xlfn._xlws.FILTER(_xlpm.types,(_xlpm.rooms=$D4)*ISNUMBER(MATCH(_xlpm.types,_xlpm.valid,0))),
_xlpm.uniqueTypes,_xlfn.UNIQUE(_xlpm.matched),
_xlpm.nums,_xlfn.MAP(_xlpm.uniqueTypes,_xlfn.LAMBDA(_xlpm.t,SUM(_xlfn._xlws.FILTER(_xlpm.qty,(_xlpm.rooms=$D4)*(_xlpm.types=_xlpm.t))))),
_xlfn.TEXTJOIN(", ",TRUE,
IF(
ISNUMBER(MATCH(_xlpm.uniqueTypes,{"바닥난방","전기바닥난방"},0)),
_xlpm.uniqueTypes,
_xlpm.uniqueTypes&amp;"("&amp;_xlpm.nums&amp;")"
))
),"-"))</f>
        <v/>
      </c>
      <c r="I4" s="42" t="str" cm="1">
        <f t="array" ref="I4">IF($D4="","",IFERROR(_xlfn.LET(_xlpm.types,공급설비!$C$3:$C$102,_xlpm.qty,공급설비!$G$3:$G$102,_xlpm.rooms,공급설비!$I$3:$I$102,_xlpm.valid,{"패키지에어컨","공조기","팬코일유닛"},_xlpm.matched,_xlfn._xlws.FILTER(_xlpm.types,(_xlpm.rooms=$D4)*ISNUMBER(MATCH(_xlpm.types,_xlpm.valid,0))),_xlpm.uniqueTypes,_xlfn.UNIQUE(_xlpm.matched),_xlfn.TEXTJOIN(", ",TRUE,_xlpm.uniqueTypes&amp;"("&amp;_xlfn.MAP(_xlpm.uniqueTypes,_xlfn.LAMBDA(_xlpm.t,SUM(_xlfn._xlws.FILTER(_xlpm.qty,(_xlpm.rooms=$D4)*(_xlpm.types=_xlpm.t)))))&amp;")")),"-"))</f>
        <v/>
      </c>
      <c r="J4" s="42" t="str" cm="1">
        <f t="array" ref="J4">IF($D4="","",IFERROR(_xlfn.TEXTJOIN(", ",TRUE,_xlfn._xlws.FILTER(환기설비!$B$3:$B$1006&amp;IF(환기설비!$F$3:$F$1006&lt;&gt;"","("&amp;환기설비!$F$3:$F$1006&amp;")",""),환기설비!$G$3:$G$1006=$D4)),""))</f>
        <v/>
      </c>
      <c r="K4" s="43">
        <f>COUNTIF(면!C:C,D4)+COUNTIF(면!H:H,D4)</f>
        <v>0</v>
      </c>
      <c r="L4" s="44">
        <f>SUMIFS(면!F:F, 면!C:C, D4, 면!D:D, "floor") + SUMIFS(면!F:F, 면!H:H, D4, 면!D:D, "ceiling")</f>
        <v>0</v>
      </c>
    </row>
    <row r="5" spans="1:15" ht="17.100000000000001" customHeight="1">
      <c r="B5" s="6"/>
      <c r="C5" s="6"/>
      <c r="D5" s="6"/>
      <c r="E5" s="6"/>
      <c r="F5" s="6"/>
      <c r="G5" s="35"/>
      <c r="H5" s="42" t="str" cm="1">
        <f t="array" ref="H5">IF($D5="","",IFERROR(_xlfn.LET(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_xlpm.matched,_xlfn._xlws.FILTER(_xlpm.types,(_xlpm.rooms=$D5)*ISNUMBER(MATCH(_xlpm.types,_xlpm.valid,0))),
_xlpm.uniqueTypes,_xlfn.UNIQUE(_xlpm.matched),
_xlpm.nums,_xlfn.MAP(_xlpm.uniqueTypes,_xlfn.LAMBDA(_xlpm.t,SUM(_xlfn._xlws.FILTER(_xlpm.qty,(_xlpm.rooms=$D5)*(_xlpm.types=_xlpm.t))))),
_xlfn.TEXTJOIN(", ",TRUE,
IF(
ISNUMBER(MATCH(_xlpm.uniqueTypes,{"바닥난방","전기바닥난방"},0)),
_xlpm.uniqueTypes,
_xlpm.uniqueTypes&amp;"("&amp;_xlpm.nums&amp;")"
))
),"-"))</f>
        <v/>
      </c>
      <c r="I5" s="42" t="str" cm="1">
        <f t="array" ref="I5">IF($D5="","",IFERROR(_xlfn.LET(_xlpm.types,공급설비!$C$3:$C$102,_xlpm.qty,공급설비!$G$3:$G$102,_xlpm.rooms,공급설비!$I$3:$I$102,_xlpm.valid,{"패키지에어컨","공조기","팬코일유닛"},_xlpm.matched,_xlfn._xlws.FILTER(_xlpm.types,(_xlpm.rooms=$D5)*ISNUMBER(MATCH(_xlpm.types,_xlpm.valid,0))),_xlpm.uniqueTypes,_xlfn.UNIQUE(_xlpm.matched),_xlfn.TEXTJOIN(", ",TRUE,_xlpm.uniqueTypes&amp;"("&amp;_xlfn.MAP(_xlpm.uniqueTypes,_xlfn.LAMBDA(_xlpm.t,SUM(_xlfn._xlws.FILTER(_xlpm.qty,(_xlpm.rooms=$D5)*(_xlpm.types=_xlpm.t)))))&amp;")")),"-"))</f>
        <v/>
      </c>
      <c r="J5" s="42" t="str" cm="1">
        <f t="array" ref="J5">IF($D5="","",IFERROR(_xlfn.TEXTJOIN(", ",TRUE,_xlfn._xlws.FILTER(환기설비!$B$3:$B$1006&amp;IF(환기설비!$F$3:$F$1006&lt;&gt;"","("&amp;환기설비!$F$3:$F$1006&amp;")",""),환기설비!$G$3:$G$1006=$D5)),""))</f>
        <v/>
      </c>
      <c r="K5" s="43">
        <f>COUNTIF(면!C:C,D5)+COUNTIF(면!H:H,D5)</f>
        <v>0</v>
      </c>
      <c r="L5" s="44">
        <f>SUMIFS(면!F:F, 면!C:C, D5, 면!D:D, "floor") + SUMIFS(면!F:F, 면!H:H, D5, 면!D:D, "ceiling")</f>
        <v>0</v>
      </c>
    </row>
    <row r="6" spans="1:15" ht="17.100000000000001" customHeight="1">
      <c r="B6" s="6"/>
      <c r="C6" s="6"/>
      <c r="D6" s="6"/>
      <c r="E6" s="6"/>
      <c r="F6" s="6"/>
      <c r="G6" s="35"/>
      <c r="H6" s="42" t="str" cm="1">
        <f t="array" ref="H6">IF($D6="","",IFERROR(_xlfn.LET(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_xlpm.matched,_xlfn._xlws.FILTER(_xlpm.types,(_xlpm.rooms=$D6)*ISNUMBER(MATCH(_xlpm.types,_xlpm.valid,0))),
_xlpm.uniqueTypes,_xlfn.UNIQUE(_xlpm.matched),
_xlpm.nums,_xlfn.MAP(_xlpm.uniqueTypes,_xlfn.LAMBDA(_xlpm.t,SUM(_xlfn._xlws.FILTER(_xlpm.qty,(_xlpm.rooms=$D6)*(_xlpm.types=_xlpm.t))))),
_xlfn.TEXTJOIN(", ",TRUE,
IF(
ISNUMBER(MATCH(_xlpm.uniqueTypes,{"바닥난방","전기바닥난방"},0)),
_xlpm.uniqueTypes,
_xlpm.uniqueTypes&amp;"("&amp;_xlpm.nums&amp;")"
))
),"-"))</f>
        <v/>
      </c>
      <c r="I6" s="42" t="str" cm="1">
        <f t="array" ref="I6">IF($D6="","",IFERROR(_xlfn.LET(_xlpm.types,공급설비!$C$3:$C$102,_xlpm.qty,공급설비!$G$3:$G$102,_xlpm.rooms,공급설비!$I$3:$I$102,_xlpm.valid,{"패키지에어컨","공조기","팬코일유닛"},_xlpm.matched,_xlfn._xlws.FILTER(_xlpm.types,(_xlpm.rooms=$D6)*ISNUMBER(MATCH(_xlpm.types,_xlpm.valid,0))),_xlpm.uniqueTypes,_xlfn.UNIQUE(_xlpm.matched),_xlfn.TEXTJOIN(", ",TRUE,_xlpm.uniqueTypes&amp;"("&amp;_xlfn.MAP(_xlpm.uniqueTypes,_xlfn.LAMBDA(_xlpm.t,SUM(_xlfn._xlws.FILTER(_xlpm.qty,(_xlpm.rooms=$D6)*(_xlpm.types=_xlpm.t)))))&amp;")")),"-"))</f>
        <v/>
      </c>
      <c r="J6" s="42" t="str" cm="1">
        <f t="array" ref="J6">IF($D6="","",IFERROR(_xlfn.TEXTJOIN(", ",TRUE,_xlfn._xlws.FILTER(환기설비!$B$3:$B$1006&amp;IF(환기설비!$F$3:$F$1006&lt;&gt;"","("&amp;환기설비!$F$3:$F$1006&amp;")",""),환기설비!$G$3:$G$1006=$D6)),""))</f>
        <v/>
      </c>
      <c r="K6" s="43">
        <f>COUNTIF(면!C:C,D6)+COUNTIF(면!H:H,D6)</f>
        <v>0</v>
      </c>
      <c r="L6" s="44">
        <f>SUMIFS(면!F:F, 면!C:C, D6, 면!D:D, "floor") + SUMIFS(면!F:F, 면!H:H, D6, 면!D:D, "ceiling")</f>
        <v>0</v>
      </c>
    </row>
    <row r="7" spans="1:15" ht="17.100000000000001" customHeight="1">
      <c r="B7" s="6"/>
      <c r="C7" s="6"/>
      <c r="D7" s="6"/>
      <c r="E7" s="6"/>
      <c r="F7" s="6"/>
      <c r="G7" s="35"/>
      <c r="H7" s="42" t="str" cm="1">
        <f t="array" ref="H7">IF($D7="","",IFERROR(_xlfn.LET(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_xlpm.matched,_xlfn._xlws.FILTER(_xlpm.types,(_xlpm.rooms=$D7)*ISNUMBER(MATCH(_xlpm.types,_xlpm.valid,0))),
_xlpm.uniqueTypes,_xlfn.UNIQUE(_xlpm.matched),
_xlpm.nums,_xlfn.MAP(_xlpm.uniqueTypes,_xlfn.LAMBDA(_xlpm.t,SUM(_xlfn._xlws.FILTER(_xlpm.qty,(_xlpm.rooms=$D7)*(_xlpm.types=_xlpm.t))))),
_xlfn.TEXTJOIN(", ",TRUE,
IF(
ISNUMBER(MATCH(_xlpm.uniqueTypes,{"바닥난방","전기바닥난방"},0)),
_xlpm.uniqueTypes,
_xlpm.uniqueTypes&amp;"("&amp;_xlpm.nums&amp;")"
))
),"-"))</f>
        <v/>
      </c>
      <c r="I7" s="42" t="str" cm="1">
        <f t="array" ref="I7">IF($D7="","",IFERROR(_xlfn.LET(_xlpm.types,공급설비!$C$3:$C$102,_xlpm.qty,공급설비!$G$3:$G$102,_xlpm.rooms,공급설비!$I$3:$I$102,_xlpm.valid,{"패키지에어컨","공조기","팬코일유닛"},_xlpm.matched,_xlfn._xlws.FILTER(_xlpm.types,(_xlpm.rooms=$D7)*ISNUMBER(MATCH(_xlpm.types,_xlpm.valid,0))),_xlpm.uniqueTypes,_xlfn.UNIQUE(_xlpm.matched),_xlfn.TEXTJOIN(", ",TRUE,_xlpm.uniqueTypes&amp;"("&amp;_xlfn.MAP(_xlpm.uniqueTypes,_xlfn.LAMBDA(_xlpm.t,SUM(_xlfn._xlws.FILTER(_xlpm.qty,(_xlpm.rooms=$D7)*(_xlpm.types=_xlpm.t)))))&amp;")")),"-"))</f>
        <v/>
      </c>
      <c r="J7" s="42" t="str" cm="1">
        <f t="array" ref="J7">IF($D7="","",IFERROR(_xlfn.TEXTJOIN(", ",TRUE,_xlfn._xlws.FILTER(환기설비!$B$3:$B$1006&amp;IF(환기설비!$F$3:$F$1006&lt;&gt;"","("&amp;환기설비!$F$3:$F$1006&amp;")",""),환기설비!$G$3:$G$1006=$D7)),""))</f>
        <v/>
      </c>
      <c r="K7" s="43">
        <f>COUNTIF(면!C:C,D7)+COUNTIF(면!H:H,D7)</f>
        <v>0</v>
      </c>
      <c r="L7" s="44">
        <f>SUMIFS(면!F:F, 면!C:C, D7, 면!D:D, "floor") + SUMIFS(면!F:F, 면!H:H, D7, 면!D:D, "ceiling")</f>
        <v>0</v>
      </c>
    </row>
    <row r="8" spans="1:15" ht="17.100000000000001" customHeight="1">
      <c r="B8" s="6"/>
      <c r="C8" s="6"/>
      <c r="D8" s="6"/>
      <c r="E8" s="6"/>
      <c r="F8" s="6"/>
      <c r="G8" s="35"/>
      <c r="H8" s="42" t="str" cm="1">
        <f t="array" ref="H8">IF($D8="","",IFERROR(_xlfn.LET(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_xlpm.matched,_xlfn._xlws.FILTER(_xlpm.types,(_xlpm.rooms=$D8)*ISNUMBER(MATCH(_xlpm.types,_xlpm.valid,0))),
_xlpm.uniqueTypes,_xlfn.UNIQUE(_xlpm.matched),
_xlpm.nums,_xlfn.MAP(_xlpm.uniqueTypes,_xlfn.LAMBDA(_xlpm.t,SUM(_xlfn._xlws.FILTER(_xlpm.qty,(_xlpm.rooms=$D8)*(_xlpm.types=_xlpm.t))))),
_xlfn.TEXTJOIN(", ",TRUE,
IF(
ISNUMBER(MATCH(_xlpm.uniqueTypes,{"바닥난방","전기바닥난방"},0)),
_xlpm.uniqueTypes,
_xlpm.uniqueTypes&amp;"("&amp;_xlpm.nums&amp;")"
))
),"-"))</f>
        <v/>
      </c>
      <c r="I8" s="42" t="str" cm="1">
        <f t="array" ref="I8">IF($D8="","",IFERROR(_xlfn.LET(_xlpm.types,공급설비!$C$3:$C$102,_xlpm.qty,공급설비!$G$3:$G$102,_xlpm.rooms,공급설비!$I$3:$I$102,_xlpm.valid,{"패키지에어컨","공조기","팬코일유닛"},_xlpm.matched,_xlfn._xlws.FILTER(_xlpm.types,(_xlpm.rooms=$D8)*ISNUMBER(MATCH(_xlpm.types,_xlpm.valid,0))),_xlpm.uniqueTypes,_xlfn.UNIQUE(_xlpm.matched),_xlfn.TEXTJOIN(", ",TRUE,_xlpm.uniqueTypes&amp;"("&amp;_xlfn.MAP(_xlpm.uniqueTypes,_xlfn.LAMBDA(_xlpm.t,SUM(_xlfn._xlws.FILTER(_xlpm.qty,(_xlpm.rooms=$D8)*(_xlpm.types=_xlpm.t)))))&amp;")")),"-"))</f>
        <v/>
      </c>
      <c r="J8" s="42" t="str" cm="1">
        <f t="array" ref="J8">IF($D8="","",IFERROR(_xlfn.TEXTJOIN(", ",TRUE,_xlfn._xlws.FILTER(환기설비!$B$3:$B$1006&amp;IF(환기설비!$F$3:$F$1006&lt;&gt;"","("&amp;환기설비!$F$3:$F$1006&amp;")",""),환기설비!$G$3:$G$1006=$D8)),""))</f>
        <v/>
      </c>
      <c r="K8" s="43">
        <f>COUNTIF(면!C:C,D8)+COUNTIF(면!H:H,D8)</f>
        <v>0</v>
      </c>
      <c r="L8" s="44">
        <f>SUMIFS(면!F:F, 면!C:C, D8, 면!D:D, "floor") + SUMIFS(면!F:F, 면!H:H, D8, 면!D:D, "ceiling")</f>
        <v>0</v>
      </c>
    </row>
    <row r="9" spans="1:15" ht="17.100000000000001" customHeight="1">
      <c r="B9" s="6"/>
      <c r="C9" s="6"/>
      <c r="D9" s="6"/>
      <c r="E9" s="6"/>
      <c r="F9" s="6"/>
      <c r="G9" s="35"/>
      <c r="H9" s="42" t="str" cm="1">
        <f t="array" ref="H9">IF($D9="","",IFERROR(_xlfn.LET(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_xlpm.matched,_xlfn._xlws.FILTER(_xlpm.types,(_xlpm.rooms=$D9)*ISNUMBER(MATCH(_xlpm.types,_xlpm.valid,0))),
_xlpm.uniqueTypes,_xlfn.UNIQUE(_xlpm.matched),
_xlpm.nums,_xlfn.MAP(_xlpm.uniqueTypes,_xlfn.LAMBDA(_xlpm.t,SUM(_xlfn._xlws.FILTER(_xlpm.qty,(_xlpm.rooms=$D9)*(_xlpm.types=_xlpm.t))))),
_xlfn.TEXTJOIN(", ",TRUE,
IF(
ISNUMBER(MATCH(_xlpm.uniqueTypes,{"바닥난방","전기바닥난방"},0)),
_xlpm.uniqueTypes,
_xlpm.uniqueTypes&amp;"("&amp;_xlpm.nums&amp;")"
))
),"-"))</f>
        <v/>
      </c>
      <c r="I9" s="42" t="str" cm="1">
        <f t="array" ref="I9">IF($D9="","",IFERROR(_xlfn.LET(_xlpm.types,공급설비!$C$3:$C$102,_xlpm.qty,공급설비!$G$3:$G$102,_xlpm.rooms,공급설비!$I$3:$I$102,_xlpm.valid,{"패키지에어컨","공조기","팬코일유닛"},_xlpm.matched,_xlfn._xlws.FILTER(_xlpm.types,(_xlpm.rooms=$D9)*ISNUMBER(MATCH(_xlpm.types,_xlpm.valid,0))),_xlpm.uniqueTypes,_xlfn.UNIQUE(_xlpm.matched),_xlfn.TEXTJOIN(", ",TRUE,_xlpm.uniqueTypes&amp;"("&amp;_xlfn.MAP(_xlpm.uniqueTypes,_xlfn.LAMBDA(_xlpm.t,SUM(_xlfn._xlws.FILTER(_xlpm.qty,(_xlpm.rooms=$D9)*(_xlpm.types=_xlpm.t)))))&amp;")")),"-"))</f>
        <v/>
      </c>
      <c r="J9" s="42" t="str" cm="1">
        <f t="array" ref="J9">IF($D9="","",IFERROR(_xlfn.TEXTJOIN(", ",TRUE,_xlfn._xlws.FILTER(환기설비!$B$3:$B$1006&amp;IF(환기설비!$F$3:$F$1006&lt;&gt;"","("&amp;환기설비!$F$3:$F$1006&amp;")",""),환기설비!$G$3:$G$1006=$D9)),""))</f>
        <v/>
      </c>
      <c r="K9" s="43">
        <f>COUNTIF(면!C:C,D9)+COUNTIF(면!H:H,D9)</f>
        <v>0</v>
      </c>
      <c r="L9" s="44">
        <f>SUMIFS(면!F:F, 면!C:C, D9, 면!D:D, "floor") + SUMIFS(면!F:F, 면!H:H, D9, 면!D:D, "ceiling")</f>
        <v>0</v>
      </c>
    </row>
    <row r="10" spans="1:15" ht="17.100000000000001" customHeight="1">
      <c r="B10" s="6"/>
      <c r="C10" s="6"/>
      <c r="D10" s="6"/>
      <c r="E10" s="6"/>
      <c r="F10" s="6"/>
      <c r="G10" s="35"/>
      <c r="H10" s="42" t="str" cm="1">
        <f t="array" ref="H10">IF($D10="","",IFERROR(_xlfn.LET(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_xlpm.matched,_xlfn._xlws.FILTER(_xlpm.types,(_xlpm.rooms=$D10)*ISNUMBER(MATCH(_xlpm.types,_xlpm.valid,0))),
_xlpm.uniqueTypes,_xlfn.UNIQUE(_xlpm.matched),
_xlpm.nums,_xlfn.MAP(_xlpm.uniqueTypes,_xlfn.LAMBDA(_xlpm.t,SUM(_xlfn._xlws.FILTER(_xlpm.qty,(_xlpm.rooms=$D10)*(_xlpm.types=_xlpm.t))))),
_xlfn.TEXTJOIN(", ",TRUE,
IF(
ISNUMBER(MATCH(_xlpm.uniqueTypes,{"바닥난방","전기바닥난방"},0)),
_xlpm.uniqueTypes,
_xlpm.uniqueTypes&amp;"("&amp;_xlpm.nums&amp;")"
))
),"-"))</f>
        <v/>
      </c>
      <c r="I10" s="42" t="str" cm="1">
        <f t="array" ref="I10">IF($D10="","",IFERROR(_xlfn.LET(_xlpm.types,공급설비!$C$3:$C$102,_xlpm.qty,공급설비!$G$3:$G$102,_xlpm.rooms,공급설비!$I$3:$I$102,_xlpm.valid,{"패키지에어컨","공조기","팬코일유닛"},_xlpm.matched,_xlfn._xlws.FILTER(_xlpm.types,(_xlpm.rooms=$D10)*ISNUMBER(MATCH(_xlpm.types,_xlpm.valid,0))),_xlpm.uniqueTypes,_xlfn.UNIQUE(_xlpm.matched),_xlfn.TEXTJOIN(", ",TRUE,_xlpm.uniqueTypes&amp;"("&amp;_xlfn.MAP(_xlpm.uniqueTypes,_xlfn.LAMBDA(_xlpm.t,SUM(_xlfn._xlws.FILTER(_xlpm.qty,(_xlpm.rooms=$D10)*(_xlpm.types=_xlpm.t)))))&amp;")")),"-"))</f>
        <v/>
      </c>
      <c r="J10" s="42" t="str" cm="1">
        <f t="array" ref="J10">IF($D10="","",IFERROR(_xlfn.TEXTJOIN(", ",TRUE,_xlfn._xlws.FILTER(환기설비!$B$3:$B$1006&amp;IF(환기설비!$F$3:$F$1006&lt;&gt;"","("&amp;환기설비!$F$3:$F$1006&amp;")",""),환기설비!$G$3:$G$1006=$D10)),""))</f>
        <v/>
      </c>
      <c r="K10" s="43">
        <f>COUNTIF(면!C:C,D10)+COUNTIF(면!H:H,D10)</f>
        <v>0</v>
      </c>
      <c r="L10" s="44">
        <f>SUMIFS(면!F:F, 면!C:C, D10, 면!D:D, "floor") + SUMIFS(면!F:F, 면!H:H, D10, 면!D:D, "ceiling")</f>
        <v>0</v>
      </c>
    </row>
    <row r="11" spans="1:15" ht="17.100000000000001" customHeight="1">
      <c r="B11" s="6"/>
      <c r="C11" s="6"/>
      <c r="D11" s="6"/>
      <c r="E11" s="6"/>
      <c r="F11" s="6"/>
      <c r="G11" s="35"/>
      <c r="H11" s="42" t="str" cm="1">
        <f t="array" ref="H11">IF($D11="","",IFERROR(_xlfn.LET(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_xlpm.matched,_xlfn._xlws.FILTER(_xlpm.types,(_xlpm.rooms=$D11)*ISNUMBER(MATCH(_xlpm.types,_xlpm.valid,0))),
_xlpm.uniqueTypes,_xlfn.UNIQUE(_xlpm.matched),
_xlpm.nums,_xlfn.MAP(_xlpm.uniqueTypes,_xlfn.LAMBDA(_xlpm.t,SUM(_xlfn._xlws.FILTER(_xlpm.qty,(_xlpm.rooms=$D11)*(_xlpm.types=_xlpm.t))))),
_xlfn.TEXTJOIN(", ",TRUE,
IF(
ISNUMBER(MATCH(_xlpm.uniqueTypes,{"바닥난방","전기바닥난방"},0)),
_xlpm.uniqueTypes,
_xlpm.uniqueTypes&amp;"("&amp;_xlpm.nums&amp;")"
))
),"-"))</f>
        <v/>
      </c>
      <c r="I11" s="42" t="str" cm="1">
        <f t="array" ref="I11">IF($D11="","",IFERROR(_xlfn.LET(_xlpm.types,공급설비!$C$3:$C$102,_xlpm.qty,공급설비!$G$3:$G$102,_xlpm.rooms,공급설비!$I$3:$I$102,_xlpm.valid,{"패키지에어컨","공조기","팬코일유닛"},_xlpm.matched,_xlfn._xlws.FILTER(_xlpm.types,(_xlpm.rooms=$D11)*ISNUMBER(MATCH(_xlpm.types,_xlpm.valid,0))),_xlpm.uniqueTypes,_xlfn.UNIQUE(_xlpm.matched),_xlfn.TEXTJOIN(", ",TRUE,_xlpm.uniqueTypes&amp;"("&amp;_xlfn.MAP(_xlpm.uniqueTypes,_xlfn.LAMBDA(_xlpm.t,SUM(_xlfn._xlws.FILTER(_xlpm.qty,(_xlpm.rooms=$D11)*(_xlpm.types=_xlpm.t)))))&amp;")")),"-"))</f>
        <v/>
      </c>
      <c r="J11" s="42" t="str" cm="1">
        <f t="array" ref="J11">IF($D11="","",IFERROR(_xlfn.TEXTJOIN(", ",TRUE,_xlfn._xlws.FILTER(환기설비!$B$3:$B$1006&amp;IF(환기설비!$F$3:$F$1006&lt;&gt;"","("&amp;환기설비!$F$3:$F$1006&amp;")",""),환기설비!$G$3:$G$1006=$D11)),""))</f>
        <v/>
      </c>
      <c r="K11" s="43">
        <f>COUNTIF(면!C:C,D11)+COUNTIF(면!H:H,D11)</f>
        <v>0</v>
      </c>
      <c r="L11" s="44">
        <f>SUMIFS(면!F:F, 면!C:C, D11, 면!D:D, "floor") + SUMIFS(면!F:F, 면!H:H, D11, 면!D:D, "ceiling")</f>
        <v>0</v>
      </c>
    </row>
    <row r="12" spans="1:15" ht="17.100000000000001" customHeight="1">
      <c r="B12" s="6"/>
      <c r="C12" s="6"/>
      <c r="D12" s="6"/>
      <c r="E12" s="6"/>
      <c r="F12" s="6"/>
      <c r="G12" s="35"/>
      <c r="H12" s="42" t="str" cm="1">
        <f t="array" ref="H12">IF($D12="","",IFERROR(_xlfn.LET(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_xlpm.matched,_xlfn._xlws.FILTER(_xlpm.types,(_xlpm.rooms=$D12)*ISNUMBER(MATCH(_xlpm.types,_xlpm.valid,0))),
_xlpm.uniqueTypes,_xlfn.UNIQUE(_xlpm.matched),
_xlpm.nums,_xlfn.MAP(_xlpm.uniqueTypes,_xlfn.LAMBDA(_xlpm.t,SUM(_xlfn._xlws.FILTER(_xlpm.qty,(_xlpm.rooms=$D12)*(_xlpm.types=_xlpm.t))))),
_xlfn.TEXTJOIN(", ",TRUE,
IF(
ISNUMBER(MATCH(_xlpm.uniqueTypes,{"바닥난방","전기바닥난방"},0)),
_xlpm.uniqueTypes,
_xlpm.uniqueTypes&amp;"("&amp;_xlpm.nums&amp;")"
))
),"-"))</f>
        <v/>
      </c>
      <c r="I12" s="42" t="str" cm="1">
        <f t="array" ref="I12">IF($D12="","",IFERROR(_xlfn.LET(_xlpm.types,공급설비!$C$3:$C$102,_xlpm.qty,공급설비!$G$3:$G$102,_xlpm.rooms,공급설비!$I$3:$I$102,_xlpm.valid,{"패키지에어컨","공조기","팬코일유닛"},_xlpm.matched,_xlfn._xlws.FILTER(_xlpm.types,(_xlpm.rooms=$D12)*ISNUMBER(MATCH(_xlpm.types,_xlpm.valid,0))),_xlpm.uniqueTypes,_xlfn.UNIQUE(_xlpm.matched),_xlfn.TEXTJOIN(", ",TRUE,_xlpm.uniqueTypes&amp;"("&amp;_xlfn.MAP(_xlpm.uniqueTypes,_xlfn.LAMBDA(_xlpm.t,SUM(_xlfn._xlws.FILTER(_xlpm.qty,(_xlpm.rooms=$D12)*(_xlpm.types=_xlpm.t)))))&amp;")")),"-"))</f>
        <v/>
      </c>
      <c r="J12" s="42" t="str" cm="1">
        <f t="array" ref="J12">IF($D12="","",IFERROR(_xlfn.TEXTJOIN(", ",TRUE,_xlfn._xlws.FILTER(환기설비!$B$3:$B$1006&amp;IF(환기설비!$F$3:$F$1006&lt;&gt;"","("&amp;환기설비!$F$3:$F$1006&amp;")",""),환기설비!$G$3:$G$1006=$D12)),""))</f>
        <v/>
      </c>
      <c r="K12" s="43">
        <f>COUNTIF(면!C:C,D12)+COUNTIF(면!H:H,D12)</f>
        <v>0</v>
      </c>
      <c r="L12" s="44">
        <f>SUMIFS(면!F:F, 면!C:C, D12, 면!D:D, "floor") + SUMIFS(면!F:F, 면!H:H, D12, 면!D:D, "ceiling")</f>
        <v>0</v>
      </c>
    </row>
    <row r="13" spans="1:15" ht="17.100000000000001" customHeight="1">
      <c r="B13" s="6"/>
      <c r="C13" s="6"/>
      <c r="D13" s="6"/>
      <c r="E13" s="6"/>
      <c r="F13" s="6"/>
      <c r="G13" s="35"/>
      <c r="H13" s="42" t="str" cm="1">
        <f t="array" ref="H13">IF($D13="","",IFERROR(_xlfn.LET(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_xlpm.matched,_xlfn._xlws.FILTER(_xlpm.types,(_xlpm.rooms=$D13)*ISNUMBER(MATCH(_xlpm.types,_xlpm.valid,0))),
_xlpm.uniqueTypes,_xlfn.UNIQUE(_xlpm.matched),
_xlpm.nums,_xlfn.MAP(_xlpm.uniqueTypes,_xlfn.LAMBDA(_xlpm.t,SUM(_xlfn._xlws.FILTER(_xlpm.qty,(_xlpm.rooms=$D13)*(_xlpm.types=_xlpm.t))))),
_xlfn.TEXTJOIN(", ",TRUE,
IF(
ISNUMBER(MATCH(_xlpm.uniqueTypes,{"바닥난방","전기바닥난방"},0)),
_xlpm.uniqueTypes,
_xlpm.uniqueTypes&amp;"("&amp;_xlpm.nums&amp;")"
))
),"-"))</f>
        <v/>
      </c>
      <c r="I13" s="42" t="str" cm="1">
        <f t="array" ref="I13">IF($D13="","",IFERROR(_xlfn.LET(_xlpm.types,공급설비!$C$3:$C$102,_xlpm.qty,공급설비!$G$3:$G$102,_xlpm.rooms,공급설비!$I$3:$I$102,_xlpm.valid,{"패키지에어컨","공조기","팬코일유닛"},_xlpm.matched,_xlfn._xlws.FILTER(_xlpm.types,(_xlpm.rooms=$D13)*ISNUMBER(MATCH(_xlpm.types,_xlpm.valid,0))),_xlpm.uniqueTypes,_xlfn.UNIQUE(_xlpm.matched),_xlfn.TEXTJOIN(", ",TRUE,_xlpm.uniqueTypes&amp;"("&amp;_xlfn.MAP(_xlpm.uniqueTypes,_xlfn.LAMBDA(_xlpm.t,SUM(_xlfn._xlws.FILTER(_xlpm.qty,(_xlpm.rooms=$D13)*(_xlpm.types=_xlpm.t)))))&amp;")")),"-"))</f>
        <v/>
      </c>
      <c r="J13" s="42" t="str" cm="1">
        <f t="array" ref="J13">IF($D13="","",IFERROR(_xlfn.TEXTJOIN(", ",TRUE,_xlfn._xlws.FILTER(환기설비!$B$3:$B$1006&amp;IF(환기설비!$F$3:$F$1006&lt;&gt;"","("&amp;환기설비!$F$3:$F$1006&amp;")",""),환기설비!$G$3:$G$1006=$D13)),""))</f>
        <v/>
      </c>
      <c r="K13" s="43">
        <f>COUNTIF(면!C:C,D13)+COUNTIF(면!H:H,D13)</f>
        <v>0</v>
      </c>
      <c r="L13" s="44">
        <f>SUMIFS(면!F:F, 면!C:C, D13, 면!D:D, "floor") + SUMIFS(면!F:F, 면!H:H, D13, 면!D:D, "ceiling")</f>
        <v>0</v>
      </c>
    </row>
    <row r="14" spans="1:15" ht="17.100000000000001" customHeight="1">
      <c r="B14" s="6"/>
      <c r="C14" s="6"/>
      <c r="D14" s="6"/>
      <c r="E14" s="6"/>
      <c r="F14" s="6"/>
      <c r="G14" s="35"/>
      <c r="H14" s="42" t="str" cm="1">
        <f t="array" ref="H14">IF($D14="","",IFERROR(_xlfn.LET(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_xlpm.matched,_xlfn._xlws.FILTER(_xlpm.types,(_xlpm.rooms=$D14)*ISNUMBER(MATCH(_xlpm.types,_xlpm.valid,0))),
_xlpm.uniqueTypes,_xlfn.UNIQUE(_xlpm.matched),
_xlpm.nums,_xlfn.MAP(_xlpm.uniqueTypes,_xlfn.LAMBDA(_xlpm.t,SUM(_xlfn._xlws.FILTER(_xlpm.qty,(_xlpm.rooms=$D14)*(_xlpm.types=_xlpm.t))))),
_xlfn.TEXTJOIN(", ",TRUE,
IF(
ISNUMBER(MATCH(_xlpm.uniqueTypes,{"바닥난방","전기바닥난방"},0)),
_xlpm.uniqueTypes,
_xlpm.uniqueTypes&amp;"("&amp;_xlpm.nums&amp;")"
))
),"-"))</f>
        <v/>
      </c>
      <c r="I14" s="42" t="str" cm="1">
        <f t="array" ref="I14">IF($D14="","",IFERROR(_xlfn.LET(_xlpm.types,공급설비!$C$3:$C$102,_xlpm.qty,공급설비!$G$3:$G$102,_xlpm.rooms,공급설비!$I$3:$I$102,_xlpm.valid,{"패키지에어컨","공조기","팬코일유닛"},_xlpm.matched,_xlfn._xlws.FILTER(_xlpm.types,(_xlpm.rooms=$D14)*ISNUMBER(MATCH(_xlpm.types,_xlpm.valid,0))),_xlpm.uniqueTypes,_xlfn.UNIQUE(_xlpm.matched),_xlfn.TEXTJOIN(", ",TRUE,_xlpm.uniqueTypes&amp;"("&amp;_xlfn.MAP(_xlpm.uniqueTypes,_xlfn.LAMBDA(_xlpm.t,SUM(_xlfn._xlws.FILTER(_xlpm.qty,(_xlpm.rooms=$D14)*(_xlpm.types=_xlpm.t)))))&amp;")")),"-"))</f>
        <v/>
      </c>
      <c r="J14" s="42" t="str" cm="1">
        <f t="array" ref="J14">IF($D14="","",IFERROR(_xlfn.TEXTJOIN(", ",TRUE,_xlfn._xlws.FILTER(환기설비!$B$3:$B$1006&amp;IF(환기설비!$F$3:$F$1006&lt;&gt;"","("&amp;환기설비!$F$3:$F$1006&amp;")",""),환기설비!$G$3:$G$1006=$D14)),""))</f>
        <v/>
      </c>
      <c r="K14" s="43">
        <f>COUNTIF(면!C:C,D14)+COUNTIF(면!H:H,D14)</f>
        <v>0</v>
      </c>
      <c r="L14" s="44">
        <f>SUMIFS(면!F:F, 면!C:C, D14, 면!D:D, "floor") + SUMIFS(면!F:F, 면!H:H, D14, 면!D:D, "ceiling")</f>
        <v>0</v>
      </c>
    </row>
    <row r="15" spans="1:15" ht="17.100000000000001" customHeight="1">
      <c r="B15" s="6"/>
      <c r="C15" s="6"/>
      <c r="D15" s="6"/>
      <c r="E15" s="6"/>
      <c r="F15" s="6"/>
      <c r="G15" s="35"/>
      <c r="H15" s="42" t="str" cm="1">
        <f t="array" ref="H15">IF($D15="","",IFERROR(_xlfn.LET(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_xlpm.matched,_xlfn._xlws.FILTER(_xlpm.types,(_xlpm.rooms=$D15)*ISNUMBER(MATCH(_xlpm.types,_xlpm.valid,0))),
_xlpm.uniqueTypes,_xlfn.UNIQUE(_xlpm.matched),
_xlpm.nums,_xlfn.MAP(_xlpm.uniqueTypes,_xlfn.LAMBDA(_xlpm.t,SUM(_xlfn._xlws.FILTER(_xlpm.qty,(_xlpm.rooms=$D15)*(_xlpm.types=_xlpm.t))))),
_xlfn.TEXTJOIN(", ",TRUE,
IF(
ISNUMBER(MATCH(_xlpm.uniqueTypes,{"바닥난방","전기바닥난방"},0)),
_xlpm.uniqueTypes,
_xlpm.uniqueTypes&amp;"("&amp;_xlpm.nums&amp;")"
))
),"-"))</f>
        <v/>
      </c>
      <c r="I15" s="42" t="str" cm="1">
        <f t="array" ref="I15">IF($D15="","",IFERROR(_xlfn.LET(_xlpm.types,공급설비!$C$3:$C$102,_xlpm.qty,공급설비!$G$3:$G$102,_xlpm.rooms,공급설비!$I$3:$I$102,_xlpm.valid,{"패키지에어컨","공조기","팬코일유닛"},_xlpm.matched,_xlfn._xlws.FILTER(_xlpm.types,(_xlpm.rooms=$D15)*ISNUMBER(MATCH(_xlpm.types,_xlpm.valid,0))),_xlpm.uniqueTypes,_xlfn.UNIQUE(_xlpm.matched),_xlfn.TEXTJOIN(", ",TRUE,_xlpm.uniqueTypes&amp;"("&amp;_xlfn.MAP(_xlpm.uniqueTypes,_xlfn.LAMBDA(_xlpm.t,SUM(_xlfn._xlws.FILTER(_xlpm.qty,(_xlpm.rooms=$D15)*(_xlpm.types=_xlpm.t)))))&amp;")")),"-"))</f>
        <v/>
      </c>
      <c r="J15" s="42" t="str" cm="1">
        <f t="array" ref="J15">IF($D15="","",IFERROR(_xlfn.TEXTJOIN(", ",TRUE,_xlfn._xlws.FILTER(환기설비!$B$3:$B$1006&amp;IF(환기설비!$F$3:$F$1006&lt;&gt;"","("&amp;환기설비!$F$3:$F$1006&amp;")",""),환기설비!$G$3:$G$1006=$D15)),""))</f>
        <v/>
      </c>
      <c r="K15" s="43">
        <f>COUNTIF(면!C:C,D15)+COUNTIF(면!H:H,D15)</f>
        <v>0</v>
      </c>
      <c r="L15" s="44">
        <f>SUMIFS(면!F:F, 면!C:C, D15, 면!D:D, "floor") + SUMIFS(면!F:F, 면!H:H, D15, 면!D:D, "ceiling")</f>
        <v>0</v>
      </c>
    </row>
    <row r="16" spans="1:15" ht="17.100000000000001" customHeight="1">
      <c r="B16" s="6"/>
      <c r="C16" s="6"/>
      <c r="D16" s="6"/>
      <c r="E16" s="6"/>
      <c r="F16" s="6"/>
      <c r="G16" s="35"/>
      <c r="H16" s="42" t="str" cm="1">
        <f t="array" ref="H16">IF($D16="","",IFERROR(_xlfn.LET(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_xlpm.matched,_xlfn._xlws.FILTER(_xlpm.types,(_xlpm.rooms=$D16)*ISNUMBER(MATCH(_xlpm.types,_xlpm.valid,0))),
_xlpm.uniqueTypes,_xlfn.UNIQUE(_xlpm.matched),
_xlpm.nums,_xlfn.MAP(_xlpm.uniqueTypes,_xlfn.LAMBDA(_xlpm.t,SUM(_xlfn._xlws.FILTER(_xlpm.qty,(_xlpm.rooms=$D16)*(_xlpm.types=_xlpm.t))))),
_xlfn.TEXTJOIN(", ",TRUE,
IF(
ISNUMBER(MATCH(_xlpm.uniqueTypes,{"바닥난방","전기바닥난방"},0)),
_xlpm.uniqueTypes,
_xlpm.uniqueTypes&amp;"("&amp;_xlpm.nums&amp;")"
))
),"-"))</f>
        <v/>
      </c>
      <c r="I16" s="42" t="str" cm="1">
        <f t="array" ref="I16">IF($D16="","",IFERROR(_xlfn.LET(_xlpm.types,공급설비!$C$3:$C$102,_xlpm.qty,공급설비!$G$3:$G$102,_xlpm.rooms,공급설비!$I$3:$I$102,_xlpm.valid,{"패키지에어컨","공조기","팬코일유닛"},_xlpm.matched,_xlfn._xlws.FILTER(_xlpm.types,(_xlpm.rooms=$D16)*ISNUMBER(MATCH(_xlpm.types,_xlpm.valid,0))),_xlpm.uniqueTypes,_xlfn.UNIQUE(_xlpm.matched),_xlfn.TEXTJOIN(", ",TRUE,_xlpm.uniqueTypes&amp;"("&amp;_xlfn.MAP(_xlpm.uniqueTypes,_xlfn.LAMBDA(_xlpm.t,SUM(_xlfn._xlws.FILTER(_xlpm.qty,(_xlpm.rooms=$D16)*(_xlpm.types=_xlpm.t)))))&amp;")")),"-"))</f>
        <v/>
      </c>
      <c r="J16" s="42" t="str" cm="1">
        <f t="array" ref="J16">IF($D16="","",IFERROR(_xlfn.TEXTJOIN(", ",TRUE,_xlfn._xlws.FILTER(환기설비!$B$3:$B$1006&amp;IF(환기설비!$F$3:$F$1006&lt;&gt;"","("&amp;환기설비!$F$3:$F$1006&amp;")",""),환기설비!$G$3:$G$1006=$D16)),""))</f>
        <v/>
      </c>
      <c r="K16" s="43">
        <f>COUNTIF(면!C:C,D16)+COUNTIF(면!H:H,D16)</f>
        <v>0</v>
      </c>
      <c r="L16" s="44">
        <f>SUMIFS(면!F:F, 면!C:C, D16, 면!D:D, "floor") + SUMIFS(면!F:F, 면!H:H, D16, 면!D:D, "ceiling")</f>
        <v>0</v>
      </c>
    </row>
    <row r="17" spans="2:12" ht="17.100000000000001" customHeight="1">
      <c r="B17" s="6"/>
      <c r="C17" s="6"/>
      <c r="D17" s="6"/>
      <c r="E17" s="6"/>
      <c r="F17" s="6"/>
      <c r="G17" s="35"/>
      <c r="H17" s="42" t="str" cm="1">
        <f t="array" ref="H17">IF($D17="","",IFERROR(_xlfn.LET(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_xlpm.matched,_xlfn._xlws.FILTER(_xlpm.types,(_xlpm.rooms=$D17)*ISNUMBER(MATCH(_xlpm.types,_xlpm.valid,0))),
_xlpm.uniqueTypes,_xlfn.UNIQUE(_xlpm.matched),
_xlpm.nums,_xlfn.MAP(_xlpm.uniqueTypes,_xlfn.LAMBDA(_xlpm.t,SUM(_xlfn._xlws.FILTER(_xlpm.qty,(_xlpm.rooms=$D17)*(_xlpm.types=_xlpm.t))))),
_xlfn.TEXTJOIN(", ",TRUE,
IF(
ISNUMBER(MATCH(_xlpm.uniqueTypes,{"바닥난방","전기바닥난방"},0)),
_xlpm.uniqueTypes,
_xlpm.uniqueTypes&amp;"("&amp;_xlpm.nums&amp;")"
))
),"-"))</f>
        <v/>
      </c>
      <c r="I17" s="42" t="str" cm="1">
        <f t="array" ref="I17">IF($D17="","",IFERROR(_xlfn.LET(_xlpm.types,공급설비!$C$3:$C$102,_xlpm.qty,공급설비!$G$3:$G$102,_xlpm.rooms,공급설비!$I$3:$I$102,_xlpm.valid,{"패키지에어컨","공조기","팬코일유닛"},_xlpm.matched,_xlfn._xlws.FILTER(_xlpm.types,(_xlpm.rooms=$D17)*ISNUMBER(MATCH(_xlpm.types,_xlpm.valid,0))),_xlpm.uniqueTypes,_xlfn.UNIQUE(_xlpm.matched),_xlfn.TEXTJOIN(", ",TRUE,_xlpm.uniqueTypes&amp;"("&amp;_xlfn.MAP(_xlpm.uniqueTypes,_xlfn.LAMBDA(_xlpm.t,SUM(_xlfn._xlws.FILTER(_xlpm.qty,(_xlpm.rooms=$D17)*(_xlpm.types=_xlpm.t)))))&amp;")")),"-"))</f>
        <v/>
      </c>
      <c r="J17" s="42" t="str" cm="1">
        <f t="array" ref="J17">IF($D17="","",IFERROR(_xlfn.TEXTJOIN(", ",TRUE,_xlfn._xlws.FILTER(환기설비!$B$3:$B$1006&amp;IF(환기설비!$F$3:$F$1006&lt;&gt;"","("&amp;환기설비!$F$3:$F$1006&amp;")",""),환기설비!$G$3:$G$1006=$D17)),""))</f>
        <v/>
      </c>
      <c r="K17" s="43">
        <f>COUNTIF(면!C:C,D17)+COUNTIF(면!H:H,D17)</f>
        <v>0</v>
      </c>
      <c r="L17" s="44">
        <f>SUMIFS(면!F:F, 면!C:C, D17, 면!D:D, "floor") + SUMIFS(면!F:F, 면!H:H, D17, 면!D:D, "ceiling")</f>
        <v>0</v>
      </c>
    </row>
    <row r="18" spans="2:12" ht="17.100000000000001" customHeight="1">
      <c r="B18" s="6"/>
      <c r="C18" s="6"/>
      <c r="D18" s="6"/>
      <c r="E18" s="6"/>
      <c r="F18" s="6"/>
      <c r="G18" s="35"/>
      <c r="H18" s="42" t="str" cm="1">
        <f t="array" ref="H18">IF($D18="","",IFERROR(_xlfn.LET(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_xlpm.matched,_xlfn._xlws.FILTER(_xlpm.types,(_xlpm.rooms=$D18)*ISNUMBER(MATCH(_xlpm.types,_xlpm.valid,0))),
_xlpm.uniqueTypes,_xlfn.UNIQUE(_xlpm.matched),
_xlpm.nums,_xlfn.MAP(_xlpm.uniqueTypes,_xlfn.LAMBDA(_xlpm.t,SUM(_xlfn._xlws.FILTER(_xlpm.qty,(_xlpm.rooms=$D18)*(_xlpm.types=_xlpm.t))))),
_xlfn.TEXTJOIN(", ",TRUE,
IF(
ISNUMBER(MATCH(_xlpm.uniqueTypes,{"바닥난방","전기바닥난방"},0)),
_xlpm.uniqueTypes,
_xlpm.uniqueTypes&amp;"("&amp;_xlpm.nums&amp;")"
))
),"-"))</f>
        <v/>
      </c>
      <c r="I18" s="42" t="str" cm="1">
        <f t="array" ref="I18">IF($D18="","",IFERROR(_xlfn.LET(_xlpm.types,공급설비!$C$3:$C$102,_xlpm.qty,공급설비!$G$3:$G$102,_xlpm.rooms,공급설비!$I$3:$I$102,_xlpm.valid,{"패키지에어컨","공조기","팬코일유닛"},_xlpm.matched,_xlfn._xlws.FILTER(_xlpm.types,(_xlpm.rooms=$D18)*ISNUMBER(MATCH(_xlpm.types,_xlpm.valid,0))),_xlpm.uniqueTypes,_xlfn.UNIQUE(_xlpm.matched),_xlfn.TEXTJOIN(", ",TRUE,_xlpm.uniqueTypes&amp;"("&amp;_xlfn.MAP(_xlpm.uniqueTypes,_xlfn.LAMBDA(_xlpm.t,SUM(_xlfn._xlws.FILTER(_xlpm.qty,(_xlpm.rooms=$D18)*(_xlpm.types=_xlpm.t)))))&amp;")")),"-"))</f>
        <v/>
      </c>
      <c r="J18" s="42" t="str" cm="1">
        <f t="array" ref="J18">IF($D18="","",IFERROR(_xlfn.TEXTJOIN(", ",TRUE,_xlfn._xlws.FILTER(환기설비!$B$3:$B$1006&amp;IF(환기설비!$F$3:$F$1006&lt;&gt;"","("&amp;환기설비!$F$3:$F$1006&amp;")",""),환기설비!$G$3:$G$1006=$D18)),""))</f>
        <v/>
      </c>
      <c r="K18" s="43">
        <f>COUNTIF(면!C:C,D18)+COUNTIF(면!H:H,D18)</f>
        <v>0</v>
      </c>
      <c r="L18" s="44">
        <f>SUMIFS(면!F:F, 면!C:C, D18, 면!D:D, "floor") + SUMIFS(면!F:F, 면!H:H, D18, 면!D:D, "ceiling")</f>
        <v>0</v>
      </c>
    </row>
    <row r="19" spans="2:12" ht="17.100000000000001" customHeight="1">
      <c r="B19" s="6"/>
      <c r="C19" s="6"/>
      <c r="D19" s="6"/>
      <c r="E19" s="6"/>
      <c r="F19" s="6"/>
      <c r="G19" s="35"/>
      <c r="H19" s="42" t="str" cm="1">
        <f t="array" ref="H19">IF($D19="","",IFERROR(_xlfn.LET(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_xlpm.matched,_xlfn._xlws.FILTER(_xlpm.types,(_xlpm.rooms=$D19)*ISNUMBER(MATCH(_xlpm.types,_xlpm.valid,0))),
_xlpm.uniqueTypes,_xlfn.UNIQUE(_xlpm.matched),
_xlpm.nums,_xlfn.MAP(_xlpm.uniqueTypes,_xlfn.LAMBDA(_xlpm.t,SUM(_xlfn._xlws.FILTER(_xlpm.qty,(_xlpm.rooms=$D19)*(_xlpm.types=_xlpm.t))))),
_xlfn.TEXTJOIN(", ",TRUE,
IF(
ISNUMBER(MATCH(_xlpm.uniqueTypes,{"바닥난방","전기바닥난방"},0)),
_xlpm.uniqueTypes,
_xlpm.uniqueTypes&amp;"("&amp;_xlpm.nums&amp;")"
))
),"-"))</f>
        <v/>
      </c>
      <c r="I19" s="42" t="str" cm="1">
        <f t="array" ref="I19">IF($D19="","",IFERROR(_xlfn.LET(_xlpm.types,공급설비!$C$3:$C$102,_xlpm.qty,공급설비!$G$3:$G$102,_xlpm.rooms,공급설비!$I$3:$I$102,_xlpm.valid,{"패키지에어컨","공조기","팬코일유닛"},_xlpm.matched,_xlfn._xlws.FILTER(_xlpm.types,(_xlpm.rooms=$D19)*ISNUMBER(MATCH(_xlpm.types,_xlpm.valid,0))),_xlpm.uniqueTypes,_xlfn.UNIQUE(_xlpm.matched),_xlfn.TEXTJOIN(", ",TRUE,_xlpm.uniqueTypes&amp;"("&amp;_xlfn.MAP(_xlpm.uniqueTypes,_xlfn.LAMBDA(_xlpm.t,SUM(_xlfn._xlws.FILTER(_xlpm.qty,(_xlpm.rooms=$D19)*(_xlpm.types=_xlpm.t)))))&amp;")")),"-"))</f>
        <v/>
      </c>
      <c r="J19" s="42" t="str" cm="1">
        <f t="array" ref="J19">IF($D19="","",IFERROR(_xlfn.TEXTJOIN(", ",TRUE,_xlfn._xlws.FILTER(환기설비!$B$3:$B$1006&amp;IF(환기설비!$F$3:$F$1006&lt;&gt;"","("&amp;환기설비!$F$3:$F$1006&amp;")",""),환기설비!$G$3:$G$1006=$D19)),""))</f>
        <v/>
      </c>
      <c r="K19" s="43">
        <f>COUNTIF(면!C:C,D19)+COUNTIF(면!H:H,D19)</f>
        <v>0</v>
      </c>
      <c r="L19" s="44">
        <f>SUMIFS(면!F:F, 면!C:C, D19, 면!D:D, "floor") + SUMIFS(면!F:F, 면!H:H, D19, 면!D:D, "ceiling")</f>
        <v>0</v>
      </c>
    </row>
    <row r="20" spans="2:12" ht="17.100000000000001" customHeight="1">
      <c r="B20" s="6"/>
      <c r="C20" s="6"/>
      <c r="D20" s="6"/>
      <c r="E20" s="6"/>
      <c r="F20" s="6"/>
      <c r="G20" s="35"/>
      <c r="H20" s="42" t="str" cm="1">
        <f t="array" ref="H20">IF($D20="","",IFERROR(_xlfn.LET(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_xlpm.matched,_xlfn._xlws.FILTER(_xlpm.types,(_xlpm.rooms=$D20)*ISNUMBER(MATCH(_xlpm.types,_xlpm.valid,0))),
_xlpm.uniqueTypes,_xlfn.UNIQUE(_xlpm.matched),
_xlpm.nums,_xlfn.MAP(_xlpm.uniqueTypes,_xlfn.LAMBDA(_xlpm.t,SUM(_xlfn._xlws.FILTER(_xlpm.qty,(_xlpm.rooms=$D20)*(_xlpm.types=_xlpm.t))))),
_xlfn.TEXTJOIN(", ",TRUE,
IF(
ISNUMBER(MATCH(_xlpm.uniqueTypes,{"바닥난방","전기바닥난방"},0)),
_xlpm.uniqueTypes,
_xlpm.uniqueTypes&amp;"("&amp;_xlpm.nums&amp;")"
))
),"-"))</f>
        <v/>
      </c>
      <c r="I20" s="42" t="str" cm="1">
        <f t="array" ref="I20">IF($D20="","",IFERROR(_xlfn.LET(_xlpm.types,공급설비!$C$3:$C$102,_xlpm.qty,공급설비!$G$3:$G$102,_xlpm.rooms,공급설비!$I$3:$I$102,_xlpm.valid,{"패키지에어컨","공조기","팬코일유닛"},_xlpm.matched,_xlfn._xlws.FILTER(_xlpm.types,(_xlpm.rooms=$D20)*ISNUMBER(MATCH(_xlpm.types,_xlpm.valid,0))),_xlpm.uniqueTypes,_xlfn.UNIQUE(_xlpm.matched),_xlfn.TEXTJOIN(", ",TRUE,_xlpm.uniqueTypes&amp;"("&amp;_xlfn.MAP(_xlpm.uniqueTypes,_xlfn.LAMBDA(_xlpm.t,SUM(_xlfn._xlws.FILTER(_xlpm.qty,(_xlpm.rooms=$D20)*(_xlpm.types=_xlpm.t)))))&amp;")")),"-"))</f>
        <v/>
      </c>
      <c r="J20" s="42" t="str" cm="1">
        <f t="array" ref="J20">IF($D20="","",IFERROR(_xlfn.TEXTJOIN(", ",TRUE,_xlfn._xlws.FILTER(환기설비!$B$3:$B$1006&amp;IF(환기설비!$F$3:$F$1006&lt;&gt;"","("&amp;환기설비!$F$3:$F$1006&amp;")",""),환기설비!$G$3:$G$1006=$D20)),""))</f>
        <v/>
      </c>
      <c r="K20" s="43">
        <f>COUNTIF(면!C:C,D20)+COUNTIF(면!H:H,D20)</f>
        <v>0</v>
      </c>
      <c r="L20" s="44">
        <f>SUMIFS(면!F:F, 면!C:C, D20, 면!D:D, "floor") + SUMIFS(면!F:F, 면!H:H, D20, 면!D:D, "ceiling")</f>
        <v>0</v>
      </c>
    </row>
    <row r="21" spans="2:12" ht="17.100000000000001" customHeight="1">
      <c r="B21" s="6"/>
      <c r="C21" s="6"/>
      <c r="D21" s="6"/>
      <c r="E21" s="6"/>
      <c r="F21" s="6"/>
      <c r="G21" s="35"/>
      <c r="H21" s="42" t="str" cm="1">
        <f t="array" ref="H21">IF($D21="","",IFERROR(_xlfn.LET(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_xlpm.matched,_xlfn._xlws.FILTER(_xlpm.types,(_xlpm.rooms=$D21)*ISNUMBER(MATCH(_xlpm.types,_xlpm.valid,0))),
_xlpm.uniqueTypes,_xlfn.UNIQUE(_xlpm.matched),
_xlpm.nums,_xlfn.MAP(_xlpm.uniqueTypes,_xlfn.LAMBDA(_xlpm.t,SUM(_xlfn._xlws.FILTER(_xlpm.qty,(_xlpm.rooms=$D21)*(_xlpm.types=_xlpm.t))))),
_xlfn.TEXTJOIN(", ",TRUE,
IF(
ISNUMBER(MATCH(_xlpm.uniqueTypes,{"바닥난방","전기바닥난방"},0)),
_xlpm.uniqueTypes,
_xlpm.uniqueTypes&amp;"("&amp;_xlpm.nums&amp;")"
))
),"-"))</f>
        <v/>
      </c>
      <c r="I21" s="42" t="str" cm="1">
        <f t="array" ref="I21">IF($D21="","",IFERROR(_xlfn.LET(_xlpm.types,공급설비!$C$3:$C$102,_xlpm.qty,공급설비!$G$3:$G$102,_xlpm.rooms,공급설비!$I$3:$I$102,_xlpm.valid,{"패키지에어컨","공조기","팬코일유닛"},_xlpm.matched,_xlfn._xlws.FILTER(_xlpm.types,(_xlpm.rooms=$D21)*ISNUMBER(MATCH(_xlpm.types,_xlpm.valid,0))),_xlpm.uniqueTypes,_xlfn.UNIQUE(_xlpm.matched),_xlfn.TEXTJOIN(", ",TRUE,_xlpm.uniqueTypes&amp;"("&amp;_xlfn.MAP(_xlpm.uniqueTypes,_xlfn.LAMBDA(_xlpm.t,SUM(_xlfn._xlws.FILTER(_xlpm.qty,(_xlpm.rooms=$D21)*(_xlpm.types=_xlpm.t)))))&amp;")")),"-"))</f>
        <v/>
      </c>
      <c r="J21" s="42" t="str" cm="1">
        <f t="array" ref="J21">IF($D21="","",IFERROR(_xlfn.TEXTJOIN(", ",TRUE,_xlfn._xlws.FILTER(환기설비!$B$3:$B$1006&amp;IF(환기설비!$F$3:$F$1006&lt;&gt;"","("&amp;환기설비!$F$3:$F$1006&amp;")",""),환기설비!$G$3:$G$1006=$D21)),""))</f>
        <v/>
      </c>
      <c r="K21" s="43">
        <f>COUNTIF(면!C:C,D21)+COUNTIF(면!H:H,D21)</f>
        <v>0</v>
      </c>
      <c r="L21" s="44">
        <f>SUMIFS(면!F:F, 면!C:C, D21, 면!D:D, "floor") + SUMIFS(면!F:F, 면!H:H, D21, 면!D:D, "ceiling")</f>
        <v>0</v>
      </c>
    </row>
    <row r="22" spans="2:12" ht="17.100000000000001" customHeight="1">
      <c r="B22" s="6"/>
      <c r="C22" s="6"/>
      <c r="D22" s="6"/>
      <c r="E22" s="6"/>
      <c r="F22" s="6"/>
      <c r="G22" s="35"/>
      <c r="H22" s="42" t="str" cm="1">
        <f t="array" ref="H22">IF($D22="","",IFERROR(_xlfn.LET(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_xlpm.matched,_xlfn._xlws.FILTER(_xlpm.types,(_xlpm.rooms=$D22)*ISNUMBER(MATCH(_xlpm.types,_xlpm.valid,0))),
_xlpm.uniqueTypes,_xlfn.UNIQUE(_xlpm.matched),
_xlpm.nums,_xlfn.MAP(_xlpm.uniqueTypes,_xlfn.LAMBDA(_xlpm.t,SUM(_xlfn._xlws.FILTER(_xlpm.qty,(_xlpm.rooms=$D22)*(_xlpm.types=_xlpm.t))))),
_xlfn.TEXTJOIN(", ",TRUE,
IF(
ISNUMBER(MATCH(_xlpm.uniqueTypes,{"바닥난방","전기바닥난방"},0)),
_xlpm.uniqueTypes,
_xlpm.uniqueTypes&amp;"("&amp;_xlpm.nums&amp;")"
))
),"-"))</f>
        <v/>
      </c>
      <c r="I22" s="42" t="str" cm="1">
        <f t="array" ref="I22">IF($D22="","",IFERROR(_xlfn.LET(_xlpm.types,공급설비!$C$3:$C$102,_xlpm.qty,공급설비!$G$3:$G$102,_xlpm.rooms,공급설비!$I$3:$I$102,_xlpm.valid,{"패키지에어컨","공조기","팬코일유닛"},_xlpm.matched,_xlfn._xlws.FILTER(_xlpm.types,(_xlpm.rooms=$D22)*ISNUMBER(MATCH(_xlpm.types,_xlpm.valid,0))),_xlpm.uniqueTypes,_xlfn.UNIQUE(_xlpm.matched),_xlfn.TEXTJOIN(", ",TRUE,_xlpm.uniqueTypes&amp;"("&amp;_xlfn.MAP(_xlpm.uniqueTypes,_xlfn.LAMBDA(_xlpm.t,SUM(_xlfn._xlws.FILTER(_xlpm.qty,(_xlpm.rooms=$D22)*(_xlpm.types=_xlpm.t)))))&amp;")")),"-"))</f>
        <v/>
      </c>
      <c r="J22" s="42" t="str" cm="1">
        <f t="array" ref="J22">IF($D22="","",IFERROR(_xlfn.TEXTJOIN(", ",TRUE,_xlfn._xlws.FILTER(환기설비!$B$3:$B$1006&amp;IF(환기설비!$F$3:$F$1006&lt;&gt;"","("&amp;환기설비!$F$3:$F$1006&amp;")",""),환기설비!$G$3:$G$1006=$D22)),""))</f>
        <v/>
      </c>
      <c r="K22" s="43">
        <f>COUNTIF(면!C:C,D22)+COUNTIF(면!H:H,D22)</f>
        <v>0</v>
      </c>
      <c r="L22" s="44">
        <f>SUMIFS(면!F:F, 면!C:C, D22, 면!D:D, "floor") + SUMIFS(면!F:F, 면!H:H, D22, 면!D:D, "ceiling")</f>
        <v>0</v>
      </c>
    </row>
    <row r="23" spans="2:12" ht="17.100000000000001" customHeight="1">
      <c r="B23" s="6"/>
      <c r="C23" s="6"/>
      <c r="D23" s="6"/>
      <c r="E23" s="6"/>
      <c r="F23" s="6"/>
      <c r="G23" s="35"/>
      <c r="H23" s="42" t="str" cm="1">
        <f t="array" ref="H23">IF($D23="","",IFERROR(_xlfn.LET(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_xlpm.matched,_xlfn._xlws.FILTER(_xlpm.types,(_xlpm.rooms=$D23)*ISNUMBER(MATCH(_xlpm.types,_xlpm.valid,0))),
_xlpm.uniqueTypes,_xlfn.UNIQUE(_xlpm.matched),
_xlpm.nums,_xlfn.MAP(_xlpm.uniqueTypes,_xlfn.LAMBDA(_xlpm.t,SUM(_xlfn._xlws.FILTER(_xlpm.qty,(_xlpm.rooms=$D23)*(_xlpm.types=_xlpm.t))))),
_xlfn.TEXTJOIN(", ",TRUE,
IF(
ISNUMBER(MATCH(_xlpm.uniqueTypes,{"바닥난방","전기바닥난방"},0)),
_xlpm.uniqueTypes,
_xlpm.uniqueTypes&amp;"("&amp;_xlpm.nums&amp;")"
))
),"-"))</f>
        <v/>
      </c>
      <c r="I23" s="42" t="str" cm="1">
        <f t="array" ref="I23">IF($D23="","",IFERROR(_xlfn.LET(_xlpm.types,공급설비!$C$3:$C$102,_xlpm.qty,공급설비!$G$3:$G$102,_xlpm.rooms,공급설비!$I$3:$I$102,_xlpm.valid,{"패키지에어컨","공조기","팬코일유닛"},_xlpm.matched,_xlfn._xlws.FILTER(_xlpm.types,(_xlpm.rooms=$D23)*ISNUMBER(MATCH(_xlpm.types,_xlpm.valid,0))),_xlpm.uniqueTypes,_xlfn.UNIQUE(_xlpm.matched),_xlfn.TEXTJOIN(", ",TRUE,_xlpm.uniqueTypes&amp;"("&amp;_xlfn.MAP(_xlpm.uniqueTypes,_xlfn.LAMBDA(_xlpm.t,SUM(_xlfn._xlws.FILTER(_xlpm.qty,(_xlpm.rooms=$D23)*(_xlpm.types=_xlpm.t)))))&amp;")")),"-"))</f>
        <v/>
      </c>
      <c r="J23" s="42" t="str" cm="1">
        <f t="array" ref="J23">IF($D23="","",IFERROR(_xlfn.TEXTJOIN(", ",TRUE,_xlfn._xlws.FILTER(환기설비!$B$3:$B$1006&amp;IF(환기설비!$F$3:$F$1006&lt;&gt;"","("&amp;환기설비!$F$3:$F$1006&amp;")",""),환기설비!$G$3:$G$1006=$D23)),""))</f>
        <v/>
      </c>
      <c r="K23" s="43">
        <f>COUNTIF(면!C:C,D23)+COUNTIF(면!H:H,D23)</f>
        <v>0</v>
      </c>
      <c r="L23" s="44">
        <f>SUMIFS(면!F:F, 면!C:C, D23, 면!D:D, "floor") + SUMIFS(면!F:F, 면!H:H, D23, 면!D:D, "ceiling")</f>
        <v>0</v>
      </c>
    </row>
    <row r="24" spans="2:12" ht="17.100000000000001" customHeight="1">
      <c r="B24" s="6"/>
      <c r="C24" s="6"/>
      <c r="D24" s="6"/>
      <c r="E24" s="6"/>
      <c r="F24" s="6"/>
      <c r="G24" s="35"/>
      <c r="H24" s="42" t="str" cm="1">
        <f t="array" ref="H24">IF($D24="","",IFERROR(_xlfn.LET(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_xlpm.matched,_xlfn._xlws.FILTER(_xlpm.types,(_xlpm.rooms=$D24)*ISNUMBER(MATCH(_xlpm.types,_xlpm.valid,0))),
_xlpm.uniqueTypes,_xlfn.UNIQUE(_xlpm.matched),
_xlpm.nums,_xlfn.MAP(_xlpm.uniqueTypes,_xlfn.LAMBDA(_xlpm.t,SUM(_xlfn._xlws.FILTER(_xlpm.qty,(_xlpm.rooms=$D24)*(_xlpm.types=_xlpm.t))))),
_xlfn.TEXTJOIN(", ",TRUE,
IF(
ISNUMBER(MATCH(_xlpm.uniqueTypes,{"바닥난방","전기바닥난방"},0)),
_xlpm.uniqueTypes,
_xlpm.uniqueTypes&amp;"("&amp;_xlpm.nums&amp;")"
))
),"-"))</f>
        <v/>
      </c>
      <c r="I24" s="42" t="str" cm="1">
        <f t="array" ref="I24">IF($D24="","",IFERROR(_xlfn.LET(_xlpm.types,공급설비!$C$3:$C$102,_xlpm.qty,공급설비!$G$3:$G$102,_xlpm.rooms,공급설비!$I$3:$I$102,_xlpm.valid,{"패키지에어컨","공조기","팬코일유닛"},_xlpm.matched,_xlfn._xlws.FILTER(_xlpm.types,(_xlpm.rooms=$D24)*ISNUMBER(MATCH(_xlpm.types,_xlpm.valid,0))),_xlpm.uniqueTypes,_xlfn.UNIQUE(_xlpm.matched),_xlfn.TEXTJOIN(", ",TRUE,_xlpm.uniqueTypes&amp;"("&amp;_xlfn.MAP(_xlpm.uniqueTypes,_xlfn.LAMBDA(_xlpm.t,SUM(_xlfn._xlws.FILTER(_xlpm.qty,(_xlpm.rooms=$D24)*(_xlpm.types=_xlpm.t)))))&amp;")")),"-"))</f>
        <v/>
      </c>
      <c r="J24" s="42" t="str" cm="1">
        <f t="array" ref="J24">IF($D24="","",IFERROR(_xlfn.TEXTJOIN(", ",TRUE,_xlfn._xlws.FILTER(환기설비!$B$3:$B$1006&amp;IF(환기설비!$F$3:$F$1006&lt;&gt;"","("&amp;환기설비!$F$3:$F$1006&amp;")",""),환기설비!$G$3:$G$1006=$D24)),""))</f>
        <v/>
      </c>
      <c r="K24" s="43">
        <f>COUNTIF(면!C:C,D24)+COUNTIF(면!H:H,D24)</f>
        <v>0</v>
      </c>
      <c r="L24" s="44">
        <f>SUMIFS(면!F:F, 면!C:C, D24, 면!D:D, "floor") + SUMIFS(면!F:F, 면!H:H, D24, 면!D:D, "ceiling")</f>
        <v>0</v>
      </c>
    </row>
    <row r="25" spans="2:12" ht="17.100000000000001" customHeight="1">
      <c r="B25" s="6"/>
      <c r="C25" s="6"/>
      <c r="D25" s="6"/>
      <c r="E25" s="6"/>
      <c r="F25" s="6"/>
      <c r="G25" s="35"/>
      <c r="H25" s="42" t="str" cm="1">
        <f t="array" ref="H25">IF($D25="","",IFERROR(_xlfn.LET(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_xlpm.matched,_xlfn._xlws.FILTER(_xlpm.types,(_xlpm.rooms=$D25)*ISNUMBER(MATCH(_xlpm.types,_xlpm.valid,0))),
_xlpm.uniqueTypes,_xlfn.UNIQUE(_xlpm.matched),
_xlpm.nums,_xlfn.MAP(_xlpm.uniqueTypes,_xlfn.LAMBDA(_xlpm.t,SUM(_xlfn._xlws.FILTER(_xlpm.qty,(_xlpm.rooms=$D25)*(_xlpm.types=_xlpm.t))))),
_xlfn.TEXTJOIN(", ",TRUE,
IF(
ISNUMBER(MATCH(_xlpm.uniqueTypes,{"바닥난방","전기바닥난방"},0)),
_xlpm.uniqueTypes,
_xlpm.uniqueTypes&amp;"("&amp;_xlpm.nums&amp;")"
))
),"-"))</f>
        <v/>
      </c>
      <c r="I25" s="42" t="str" cm="1">
        <f t="array" ref="I25">IF($D25="","",IFERROR(_xlfn.LET(_xlpm.types,공급설비!$C$3:$C$102,_xlpm.qty,공급설비!$G$3:$G$102,_xlpm.rooms,공급설비!$I$3:$I$102,_xlpm.valid,{"패키지에어컨","공조기","팬코일유닛"},_xlpm.matched,_xlfn._xlws.FILTER(_xlpm.types,(_xlpm.rooms=$D25)*ISNUMBER(MATCH(_xlpm.types,_xlpm.valid,0))),_xlpm.uniqueTypes,_xlfn.UNIQUE(_xlpm.matched),_xlfn.TEXTJOIN(", ",TRUE,_xlpm.uniqueTypes&amp;"("&amp;_xlfn.MAP(_xlpm.uniqueTypes,_xlfn.LAMBDA(_xlpm.t,SUM(_xlfn._xlws.FILTER(_xlpm.qty,(_xlpm.rooms=$D25)*(_xlpm.types=_xlpm.t)))))&amp;")")),"-"))</f>
        <v/>
      </c>
      <c r="J25" s="42" t="str" cm="1">
        <f t="array" ref="J25">IF($D25="","",IFERROR(_xlfn.TEXTJOIN(", ",TRUE,_xlfn._xlws.FILTER(환기설비!$B$3:$B$1006&amp;IF(환기설비!$F$3:$F$1006&lt;&gt;"","("&amp;환기설비!$F$3:$F$1006&amp;")",""),환기설비!$G$3:$G$1006=$D25)),""))</f>
        <v/>
      </c>
      <c r="K25" s="43">
        <f>COUNTIF(면!C:C,D25)+COUNTIF(면!H:H,D25)</f>
        <v>0</v>
      </c>
      <c r="L25" s="44">
        <f>SUMIFS(면!F:F, 면!C:C, D25, 면!D:D, "floor") + SUMIFS(면!F:F, 면!H:H, D25, 면!D:D, "ceiling")</f>
        <v>0</v>
      </c>
    </row>
    <row r="26" spans="2:12" ht="17.100000000000001" customHeight="1">
      <c r="B26" s="6"/>
      <c r="C26" s="6"/>
      <c r="D26" s="6"/>
      <c r="E26" s="6"/>
      <c r="F26" s="6"/>
      <c r="G26" s="35"/>
      <c r="H26" s="42" t="str" cm="1">
        <f t="array" ref="H26">IF($D26="","",IFERROR(_xlfn.LET(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_xlpm.matched,_xlfn._xlws.FILTER(_xlpm.types,(_xlpm.rooms=$D26)*ISNUMBER(MATCH(_xlpm.types,_xlpm.valid,0))),
_xlpm.uniqueTypes,_xlfn.UNIQUE(_xlpm.matched),
_xlpm.nums,_xlfn.MAP(_xlpm.uniqueTypes,_xlfn.LAMBDA(_xlpm.t,SUM(_xlfn._xlws.FILTER(_xlpm.qty,(_xlpm.rooms=$D26)*(_xlpm.types=_xlpm.t))))),
_xlfn.TEXTJOIN(", ",TRUE,
IF(
ISNUMBER(MATCH(_xlpm.uniqueTypes,{"바닥난방","전기바닥난방"},0)),
_xlpm.uniqueTypes,
_xlpm.uniqueTypes&amp;"("&amp;_xlpm.nums&amp;")"
))
),"-"))</f>
        <v/>
      </c>
      <c r="I26" s="42" t="str" cm="1">
        <f t="array" ref="I26">IF($D26="","",IFERROR(_xlfn.LET(_xlpm.types,공급설비!$C$3:$C$102,_xlpm.qty,공급설비!$G$3:$G$102,_xlpm.rooms,공급설비!$I$3:$I$102,_xlpm.valid,{"패키지에어컨","공조기","팬코일유닛"},_xlpm.matched,_xlfn._xlws.FILTER(_xlpm.types,(_xlpm.rooms=$D26)*ISNUMBER(MATCH(_xlpm.types,_xlpm.valid,0))),_xlpm.uniqueTypes,_xlfn.UNIQUE(_xlpm.matched),_xlfn.TEXTJOIN(", ",TRUE,_xlpm.uniqueTypes&amp;"("&amp;_xlfn.MAP(_xlpm.uniqueTypes,_xlfn.LAMBDA(_xlpm.t,SUM(_xlfn._xlws.FILTER(_xlpm.qty,(_xlpm.rooms=$D26)*(_xlpm.types=_xlpm.t)))))&amp;")")),"-"))</f>
        <v/>
      </c>
      <c r="J26" s="42" t="str" cm="1">
        <f t="array" ref="J26">IF($D26="","",IFERROR(_xlfn.TEXTJOIN(", ",TRUE,_xlfn._xlws.FILTER(환기설비!$B$3:$B$1006&amp;IF(환기설비!$F$3:$F$1006&lt;&gt;"","("&amp;환기설비!$F$3:$F$1006&amp;")",""),환기설비!$G$3:$G$1006=$D26)),""))</f>
        <v/>
      </c>
      <c r="K26" s="43">
        <f>COUNTIF(면!C:C,D26)+COUNTIF(면!H:H,D26)</f>
        <v>0</v>
      </c>
      <c r="L26" s="44">
        <f>SUMIFS(면!F:F, 면!C:C, D26, 면!D:D, "floor") + SUMIFS(면!F:F, 면!H:H, D26, 면!D:D, "ceiling")</f>
        <v>0</v>
      </c>
    </row>
    <row r="27" spans="2:12" ht="17.100000000000001" customHeight="1">
      <c r="B27" s="6"/>
      <c r="C27" s="6"/>
      <c r="D27" s="6"/>
      <c r="E27" s="6"/>
      <c r="F27" s="6"/>
      <c r="G27" s="35"/>
      <c r="H27" s="42" t="str" cm="1">
        <f t="array" ref="H27">IF($D27="","",IFERROR(_xlfn.LET(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_xlpm.matched,_xlfn._xlws.FILTER(_xlpm.types,(_xlpm.rooms=$D27)*ISNUMBER(MATCH(_xlpm.types,_xlpm.valid,0))),
_xlpm.uniqueTypes,_xlfn.UNIQUE(_xlpm.matched),
_xlpm.nums,_xlfn.MAP(_xlpm.uniqueTypes,_xlfn.LAMBDA(_xlpm.t,SUM(_xlfn._xlws.FILTER(_xlpm.qty,(_xlpm.rooms=$D27)*(_xlpm.types=_xlpm.t))))),
_xlfn.TEXTJOIN(", ",TRUE,
IF(
ISNUMBER(MATCH(_xlpm.uniqueTypes,{"바닥난방","전기바닥난방"},0)),
_xlpm.uniqueTypes,
_xlpm.uniqueTypes&amp;"("&amp;_xlpm.nums&amp;")"
))
),"-"))</f>
        <v/>
      </c>
      <c r="I27" s="42" t="str" cm="1">
        <f t="array" ref="I27">IF($D27="","",IFERROR(_xlfn.LET(_xlpm.types,공급설비!$C$3:$C$102,_xlpm.qty,공급설비!$G$3:$G$102,_xlpm.rooms,공급설비!$I$3:$I$102,_xlpm.valid,{"패키지에어컨","공조기","팬코일유닛"},_xlpm.matched,_xlfn._xlws.FILTER(_xlpm.types,(_xlpm.rooms=$D27)*ISNUMBER(MATCH(_xlpm.types,_xlpm.valid,0))),_xlpm.uniqueTypes,_xlfn.UNIQUE(_xlpm.matched),_xlfn.TEXTJOIN(", ",TRUE,_xlpm.uniqueTypes&amp;"("&amp;_xlfn.MAP(_xlpm.uniqueTypes,_xlfn.LAMBDA(_xlpm.t,SUM(_xlfn._xlws.FILTER(_xlpm.qty,(_xlpm.rooms=$D27)*(_xlpm.types=_xlpm.t)))))&amp;")")),"-"))</f>
        <v/>
      </c>
      <c r="J27" s="42" t="str" cm="1">
        <f t="array" ref="J27">IF($D27="","",IFERROR(_xlfn.TEXTJOIN(", ",TRUE,_xlfn._xlws.FILTER(환기설비!$B$3:$B$1006&amp;IF(환기설비!$F$3:$F$1006&lt;&gt;"","("&amp;환기설비!$F$3:$F$1006&amp;")",""),환기설비!$G$3:$G$1006=$D27)),""))</f>
        <v/>
      </c>
      <c r="K27" s="43">
        <f>COUNTIF(면!C:C,D27)+COUNTIF(면!H:H,D27)</f>
        <v>0</v>
      </c>
      <c r="L27" s="44">
        <f>SUMIFS(면!F:F, 면!C:C, D27, 면!D:D, "floor") + SUMIFS(면!F:F, 면!H:H, D27, 면!D:D, "ceiling")</f>
        <v>0</v>
      </c>
    </row>
    <row r="28" spans="2:12" ht="17.100000000000001" customHeight="1">
      <c r="B28" s="6"/>
      <c r="C28" s="6"/>
      <c r="D28" s="6"/>
      <c r="E28" s="6"/>
      <c r="F28" s="6"/>
      <c r="G28" s="35"/>
      <c r="H28" s="42" t="str" cm="1">
        <f t="array" ref="H28">IF($D28="","",IFERROR(_xlfn.LET(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_xlpm.matched,_xlfn._xlws.FILTER(_xlpm.types,(_xlpm.rooms=$D28)*ISNUMBER(MATCH(_xlpm.types,_xlpm.valid,0))),
_xlpm.uniqueTypes,_xlfn.UNIQUE(_xlpm.matched),
_xlpm.nums,_xlfn.MAP(_xlpm.uniqueTypes,_xlfn.LAMBDA(_xlpm.t,SUM(_xlfn._xlws.FILTER(_xlpm.qty,(_xlpm.rooms=$D28)*(_xlpm.types=_xlpm.t))))),
_xlfn.TEXTJOIN(", ",TRUE,
IF(
ISNUMBER(MATCH(_xlpm.uniqueTypes,{"바닥난방","전기바닥난방"},0)),
_xlpm.uniqueTypes,
_xlpm.uniqueTypes&amp;"("&amp;_xlpm.nums&amp;")"
))
),"-"))</f>
        <v/>
      </c>
      <c r="I28" s="42" t="str" cm="1">
        <f t="array" ref="I28">IF($D28="","",IFERROR(_xlfn.LET(_xlpm.types,공급설비!$C$3:$C$102,_xlpm.qty,공급설비!$G$3:$G$102,_xlpm.rooms,공급설비!$I$3:$I$102,_xlpm.valid,{"패키지에어컨","공조기","팬코일유닛"},_xlpm.matched,_xlfn._xlws.FILTER(_xlpm.types,(_xlpm.rooms=$D28)*ISNUMBER(MATCH(_xlpm.types,_xlpm.valid,0))),_xlpm.uniqueTypes,_xlfn.UNIQUE(_xlpm.matched),_xlfn.TEXTJOIN(", ",TRUE,_xlpm.uniqueTypes&amp;"("&amp;_xlfn.MAP(_xlpm.uniqueTypes,_xlfn.LAMBDA(_xlpm.t,SUM(_xlfn._xlws.FILTER(_xlpm.qty,(_xlpm.rooms=$D28)*(_xlpm.types=_xlpm.t)))))&amp;")")),"-"))</f>
        <v/>
      </c>
      <c r="J28" s="42" t="str" cm="1">
        <f t="array" ref="J28">IF($D28="","",IFERROR(_xlfn.TEXTJOIN(", ",TRUE,_xlfn._xlws.FILTER(환기설비!$B$3:$B$1006&amp;IF(환기설비!$F$3:$F$1006&lt;&gt;"","("&amp;환기설비!$F$3:$F$1006&amp;")",""),환기설비!$G$3:$G$1006=$D28)),""))</f>
        <v/>
      </c>
      <c r="K28" s="43">
        <f>COUNTIF(면!C:C,D28)+COUNTIF(면!H:H,D28)</f>
        <v>0</v>
      </c>
      <c r="L28" s="44">
        <f>SUMIFS(면!F:F, 면!C:C, D28, 면!D:D, "floor") + SUMIFS(면!F:F, 면!H:H, D28, 면!D:D, "ceiling")</f>
        <v>0</v>
      </c>
    </row>
    <row r="29" spans="2:12" ht="17.100000000000001" customHeight="1">
      <c r="B29" s="6"/>
      <c r="C29" s="6"/>
      <c r="D29" s="6"/>
      <c r="E29" s="6"/>
      <c r="F29" s="6"/>
      <c r="G29" s="35"/>
      <c r="H29" s="42" t="str" cm="1">
        <f t="array" ref="H29">IF($D29="","",IFERROR(_xlfn.LET(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_xlpm.matched,_xlfn._xlws.FILTER(_xlpm.types,(_xlpm.rooms=$D29)*ISNUMBER(MATCH(_xlpm.types,_xlpm.valid,0))),
_xlpm.uniqueTypes,_xlfn.UNIQUE(_xlpm.matched),
_xlpm.nums,_xlfn.MAP(_xlpm.uniqueTypes,_xlfn.LAMBDA(_xlpm.t,SUM(_xlfn._xlws.FILTER(_xlpm.qty,(_xlpm.rooms=$D29)*(_xlpm.types=_xlpm.t))))),
_xlfn.TEXTJOIN(", ",TRUE,
IF(
ISNUMBER(MATCH(_xlpm.uniqueTypes,{"바닥난방","전기바닥난방"},0)),
_xlpm.uniqueTypes,
_xlpm.uniqueTypes&amp;"("&amp;_xlpm.nums&amp;")"
))
),"-"))</f>
        <v/>
      </c>
      <c r="I29" s="42" t="str" cm="1">
        <f t="array" ref="I29">IF($D29="","",IFERROR(_xlfn.LET(_xlpm.types,공급설비!$C$3:$C$102,_xlpm.qty,공급설비!$G$3:$G$102,_xlpm.rooms,공급설비!$I$3:$I$102,_xlpm.valid,{"패키지에어컨","공조기","팬코일유닛"},_xlpm.matched,_xlfn._xlws.FILTER(_xlpm.types,(_xlpm.rooms=$D29)*ISNUMBER(MATCH(_xlpm.types,_xlpm.valid,0))),_xlpm.uniqueTypes,_xlfn.UNIQUE(_xlpm.matched),_xlfn.TEXTJOIN(", ",TRUE,_xlpm.uniqueTypes&amp;"("&amp;_xlfn.MAP(_xlpm.uniqueTypes,_xlfn.LAMBDA(_xlpm.t,SUM(_xlfn._xlws.FILTER(_xlpm.qty,(_xlpm.rooms=$D29)*(_xlpm.types=_xlpm.t)))))&amp;")")),"-"))</f>
        <v/>
      </c>
      <c r="J29" s="42" t="str" cm="1">
        <f t="array" ref="J29">IF($D29="","",IFERROR(_xlfn.TEXTJOIN(", ",TRUE,_xlfn._xlws.FILTER(환기설비!$B$3:$B$1006&amp;IF(환기설비!$F$3:$F$1006&lt;&gt;"","("&amp;환기설비!$F$3:$F$1006&amp;")",""),환기설비!$G$3:$G$1006=$D29)),""))</f>
        <v/>
      </c>
      <c r="K29" s="43">
        <f>COUNTIF(면!C:C,D29)+COUNTIF(면!H:H,D29)</f>
        <v>0</v>
      </c>
      <c r="L29" s="44">
        <f>SUMIFS(면!F:F, 면!C:C, D29, 면!D:D, "floor") + SUMIFS(면!F:F, 면!H:H, D29, 면!D:D, "ceiling")</f>
        <v>0</v>
      </c>
    </row>
    <row r="30" spans="2:12" ht="17.100000000000001" customHeight="1">
      <c r="B30" s="6"/>
      <c r="C30" s="6"/>
      <c r="D30" s="6"/>
      <c r="E30" s="6"/>
      <c r="F30" s="6"/>
      <c r="G30" s="35"/>
      <c r="H30" s="42" t="str" cm="1">
        <f t="array" ref="H30">IF($D30="","",IFERROR(_xlfn.LET(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_xlpm.matched,_xlfn._xlws.FILTER(_xlpm.types,(_xlpm.rooms=$D30)*ISNUMBER(MATCH(_xlpm.types,_xlpm.valid,0))),
_xlpm.uniqueTypes,_xlfn.UNIQUE(_xlpm.matched),
_xlpm.nums,_xlfn.MAP(_xlpm.uniqueTypes,_xlfn.LAMBDA(_xlpm.t,SUM(_xlfn._xlws.FILTER(_xlpm.qty,(_xlpm.rooms=$D30)*(_xlpm.types=_xlpm.t))))),
_xlfn.TEXTJOIN(", ",TRUE,
IF(
ISNUMBER(MATCH(_xlpm.uniqueTypes,{"바닥난방","전기바닥난방"},0)),
_xlpm.uniqueTypes,
_xlpm.uniqueTypes&amp;"("&amp;_xlpm.nums&amp;")"
))
),"-"))</f>
        <v/>
      </c>
      <c r="I30" s="42" t="str" cm="1">
        <f t="array" ref="I30">IF($D30="","",IFERROR(_xlfn.LET(_xlpm.types,공급설비!$C$3:$C$102,_xlpm.qty,공급설비!$G$3:$G$102,_xlpm.rooms,공급설비!$I$3:$I$102,_xlpm.valid,{"패키지에어컨","공조기","팬코일유닛"},_xlpm.matched,_xlfn._xlws.FILTER(_xlpm.types,(_xlpm.rooms=$D30)*ISNUMBER(MATCH(_xlpm.types,_xlpm.valid,0))),_xlpm.uniqueTypes,_xlfn.UNIQUE(_xlpm.matched),_xlfn.TEXTJOIN(", ",TRUE,_xlpm.uniqueTypes&amp;"("&amp;_xlfn.MAP(_xlpm.uniqueTypes,_xlfn.LAMBDA(_xlpm.t,SUM(_xlfn._xlws.FILTER(_xlpm.qty,(_xlpm.rooms=$D30)*(_xlpm.types=_xlpm.t)))))&amp;")")),"-"))</f>
        <v/>
      </c>
      <c r="J30" s="42" t="str" cm="1">
        <f t="array" ref="J30">IF($D30="","",IFERROR(_xlfn.TEXTJOIN(", ",TRUE,_xlfn._xlws.FILTER(환기설비!$B$3:$B$1006&amp;IF(환기설비!$F$3:$F$1006&lt;&gt;"","("&amp;환기설비!$F$3:$F$1006&amp;")",""),환기설비!$G$3:$G$1006=$D30)),""))</f>
        <v/>
      </c>
      <c r="K30" s="43">
        <f>COUNTIF(면!C:C,D30)+COUNTIF(면!H:H,D30)</f>
        <v>0</v>
      </c>
      <c r="L30" s="44">
        <f>SUMIFS(면!F:F, 면!C:C, D30, 면!D:D, "floor") + SUMIFS(면!F:F, 면!H:H, D30, 면!D:D, "ceiling")</f>
        <v>0</v>
      </c>
    </row>
    <row r="31" spans="2:12" ht="17.100000000000001" customHeight="1">
      <c r="B31" s="6"/>
      <c r="C31" s="6"/>
      <c r="D31" s="6"/>
      <c r="E31" s="6"/>
      <c r="F31" s="6"/>
      <c r="G31" s="35"/>
      <c r="H31" s="42" t="str" cm="1">
        <f t="array" ref="H31">IF($D31="","",IFERROR(_xlfn.LET(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_xlpm.matched,_xlfn._xlws.FILTER(_xlpm.types,(_xlpm.rooms=$D31)*ISNUMBER(MATCH(_xlpm.types,_xlpm.valid,0))),
_xlpm.uniqueTypes,_xlfn.UNIQUE(_xlpm.matched),
_xlpm.nums,_xlfn.MAP(_xlpm.uniqueTypes,_xlfn.LAMBDA(_xlpm.t,SUM(_xlfn._xlws.FILTER(_xlpm.qty,(_xlpm.rooms=$D31)*(_xlpm.types=_xlpm.t))))),
_xlfn.TEXTJOIN(", ",TRUE,
IF(
ISNUMBER(MATCH(_xlpm.uniqueTypes,{"바닥난방","전기바닥난방"},0)),
_xlpm.uniqueTypes,
_xlpm.uniqueTypes&amp;"("&amp;_xlpm.nums&amp;")"
))
),"-"))</f>
        <v/>
      </c>
      <c r="I31" s="42" t="str" cm="1">
        <f t="array" ref="I31">IF($D31="","",IFERROR(_xlfn.LET(_xlpm.types,공급설비!$C$3:$C$102,_xlpm.qty,공급설비!$G$3:$G$102,_xlpm.rooms,공급설비!$I$3:$I$102,_xlpm.valid,{"패키지에어컨","공조기","팬코일유닛"},_xlpm.matched,_xlfn._xlws.FILTER(_xlpm.types,(_xlpm.rooms=$D31)*ISNUMBER(MATCH(_xlpm.types,_xlpm.valid,0))),_xlpm.uniqueTypes,_xlfn.UNIQUE(_xlpm.matched),_xlfn.TEXTJOIN(", ",TRUE,_xlpm.uniqueTypes&amp;"("&amp;_xlfn.MAP(_xlpm.uniqueTypes,_xlfn.LAMBDA(_xlpm.t,SUM(_xlfn._xlws.FILTER(_xlpm.qty,(_xlpm.rooms=$D31)*(_xlpm.types=_xlpm.t)))))&amp;")")),"-"))</f>
        <v/>
      </c>
      <c r="J31" s="42" t="str" cm="1">
        <f t="array" ref="J31">IF($D31="","",IFERROR(_xlfn.TEXTJOIN(", ",TRUE,_xlfn._xlws.FILTER(환기설비!$B$3:$B$1006&amp;IF(환기설비!$F$3:$F$1006&lt;&gt;"","("&amp;환기설비!$F$3:$F$1006&amp;")",""),환기설비!$G$3:$G$1006=$D31)),""))</f>
        <v/>
      </c>
      <c r="K31" s="43">
        <f>COUNTIF(면!C:C,D31)+COUNTIF(면!H:H,D31)</f>
        <v>0</v>
      </c>
      <c r="L31" s="44">
        <f>SUMIFS(면!F:F, 면!C:C, D31, 면!D:D, "floor") + SUMIFS(면!F:F, 면!H:H, D31, 면!D:D, "ceiling")</f>
        <v>0</v>
      </c>
    </row>
    <row r="32" spans="2:12" ht="17.100000000000001" customHeight="1">
      <c r="B32" s="6"/>
      <c r="C32" s="6"/>
      <c r="D32" s="6"/>
      <c r="E32" s="6"/>
      <c r="F32" s="6"/>
      <c r="G32" s="35"/>
      <c r="H32" s="42" t="str" cm="1">
        <f t="array" ref="H32">IF($D32="","",IFERROR(_xlfn.LET(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_xlpm.matched,_xlfn._xlws.FILTER(_xlpm.types,(_xlpm.rooms=$D32)*ISNUMBER(MATCH(_xlpm.types,_xlpm.valid,0))),
_xlpm.uniqueTypes,_xlfn.UNIQUE(_xlpm.matched),
_xlpm.nums,_xlfn.MAP(_xlpm.uniqueTypes,_xlfn.LAMBDA(_xlpm.t,SUM(_xlfn._xlws.FILTER(_xlpm.qty,(_xlpm.rooms=$D32)*(_xlpm.types=_xlpm.t))))),
_xlfn.TEXTJOIN(", ",TRUE,
IF(
ISNUMBER(MATCH(_xlpm.uniqueTypes,{"바닥난방","전기바닥난방"},0)),
_xlpm.uniqueTypes,
_xlpm.uniqueTypes&amp;"("&amp;_xlpm.nums&amp;")"
))
),"-"))</f>
        <v/>
      </c>
      <c r="I32" s="42" t="str" cm="1">
        <f t="array" ref="I32">IF($D32="","",IFERROR(_xlfn.LET(_xlpm.types,공급설비!$C$3:$C$102,_xlpm.qty,공급설비!$G$3:$G$102,_xlpm.rooms,공급설비!$I$3:$I$102,_xlpm.valid,{"패키지에어컨","공조기","팬코일유닛"},_xlpm.matched,_xlfn._xlws.FILTER(_xlpm.types,(_xlpm.rooms=$D32)*ISNUMBER(MATCH(_xlpm.types,_xlpm.valid,0))),_xlpm.uniqueTypes,_xlfn.UNIQUE(_xlpm.matched),_xlfn.TEXTJOIN(", ",TRUE,_xlpm.uniqueTypes&amp;"("&amp;_xlfn.MAP(_xlpm.uniqueTypes,_xlfn.LAMBDA(_xlpm.t,SUM(_xlfn._xlws.FILTER(_xlpm.qty,(_xlpm.rooms=$D32)*(_xlpm.types=_xlpm.t)))))&amp;")")),"-"))</f>
        <v/>
      </c>
      <c r="J32" s="42" t="str" cm="1">
        <f t="array" ref="J32">IF($D32="","",IFERROR(_xlfn.TEXTJOIN(", ",TRUE,_xlfn._xlws.FILTER(환기설비!$B$3:$B$1006&amp;IF(환기설비!$F$3:$F$1006&lt;&gt;"","("&amp;환기설비!$F$3:$F$1006&amp;")",""),환기설비!$G$3:$G$1006=$D32)),""))</f>
        <v/>
      </c>
      <c r="K32" s="43">
        <f>COUNTIF(면!C:C,D32)+COUNTIF(면!H:H,D32)</f>
        <v>0</v>
      </c>
      <c r="L32" s="44">
        <f>SUMIFS(면!F:F, 면!C:C, D32, 면!D:D, "floor") + SUMIFS(면!F:F, 면!H:H, D32, 면!D:D, "ceiling")</f>
        <v>0</v>
      </c>
    </row>
    <row r="33" spans="2:12" ht="17.100000000000001" customHeight="1">
      <c r="B33" s="6"/>
      <c r="C33" s="6"/>
      <c r="D33" s="6"/>
      <c r="E33" s="6"/>
      <c r="F33" s="6"/>
      <c r="G33" s="35"/>
      <c r="H33" s="42" t="str" cm="1">
        <f t="array" ref="H33">IF($D33="","",IFERROR(_xlfn.LET(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_xlpm.matched,_xlfn._xlws.FILTER(_xlpm.types,(_xlpm.rooms=$D33)*ISNUMBER(MATCH(_xlpm.types,_xlpm.valid,0))),
_xlpm.uniqueTypes,_xlfn.UNIQUE(_xlpm.matched),
_xlpm.nums,_xlfn.MAP(_xlpm.uniqueTypes,_xlfn.LAMBDA(_xlpm.t,SUM(_xlfn._xlws.FILTER(_xlpm.qty,(_xlpm.rooms=$D33)*(_xlpm.types=_xlpm.t))))),
_xlfn.TEXTJOIN(", ",TRUE,
IF(
ISNUMBER(MATCH(_xlpm.uniqueTypes,{"바닥난방","전기바닥난방"},0)),
_xlpm.uniqueTypes,
_xlpm.uniqueTypes&amp;"("&amp;_xlpm.nums&amp;")"
))
),"-"))</f>
        <v/>
      </c>
      <c r="I33" s="42" t="str" cm="1">
        <f t="array" ref="I33">IF($D33="","",IFERROR(_xlfn.LET(_xlpm.types,공급설비!$C$3:$C$102,_xlpm.qty,공급설비!$G$3:$G$102,_xlpm.rooms,공급설비!$I$3:$I$102,_xlpm.valid,{"패키지에어컨","공조기","팬코일유닛"},_xlpm.matched,_xlfn._xlws.FILTER(_xlpm.types,(_xlpm.rooms=$D33)*ISNUMBER(MATCH(_xlpm.types,_xlpm.valid,0))),_xlpm.uniqueTypes,_xlfn.UNIQUE(_xlpm.matched),_xlfn.TEXTJOIN(", ",TRUE,_xlpm.uniqueTypes&amp;"("&amp;_xlfn.MAP(_xlpm.uniqueTypes,_xlfn.LAMBDA(_xlpm.t,SUM(_xlfn._xlws.FILTER(_xlpm.qty,(_xlpm.rooms=$D33)*(_xlpm.types=_xlpm.t)))))&amp;")")),"-"))</f>
        <v/>
      </c>
      <c r="J33" s="42" t="str" cm="1">
        <f t="array" ref="J33">IF($D33="","",IFERROR(_xlfn.TEXTJOIN(", ",TRUE,_xlfn._xlws.FILTER(환기설비!$B$3:$B$1006&amp;IF(환기설비!$F$3:$F$1006&lt;&gt;"","("&amp;환기설비!$F$3:$F$1006&amp;")",""),환기설비!$G$3:$G$1006=$D33)),""))</f>
        <v/>
      </c>
      <c r="K33" s="43">
        <f>COUNTIF(면!C:C,D33)+COUNTIF(면!H:H,D33)</f>
        <v>0</v>
      </c>
      <c r="L33" s="44">
        <f>SUMIFS(면!F:F, 면!C:C, D33, 면!D:D, "floor") + SUMIFS(면!F:F, 면!H:H, D33, 면!D:D, "ceiling")</f>
        <v>0</v>
      </c>
    </row>
    <row r="34" spans="2:12" ht="17.100000000000001" customHeight="1">
      <c r="B34" s="6"/>
      <c r="C34" s="6"/>
      <c r="D34" s="6"/>
      <c r="E34" s="6"/>
      <c r="F34" s="6"/>
      <c r="G34" s="35"/>
      <c r="H34" s="42" t="str" cm="1">
        <f t="array" ref="H34">IF($D34="","",IFERROR(_xlfn.LET(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_xlpm.matched,_xlfn._xlws.FILTER(_xlpm.types,(_xlpm.rooms=$D34)*ISNUMBER(MATCH(_xlpm.types,_xlpm.valid,0))),
_xlpm.uniqueTypes,_xlfn.UNIQUE(_xlpm.matched),
_xlpm.nums,_xlfn.MAP(_xlpm.uniqueTypes,_xlfn.LAMBDA(_xlpm.t,SUM(_xlfn._xlws.FILTER(_xlpm.qty,(_xlpm.rooms=$D34)*(_xlpm.types=_xlpm.t))))),
_xlfn.TEXTJOIN(", ",TRUE,
IF(
ISNUMBER(MATCH(_xlpm.uniqueTypes,{"바닥난방","전기바닥난방"},0)),
_xlpm.uniqueTypes,
_xlpm.uniqueTypes&amp;"("&amp;_xlpm.nums&amp;")"
))
),"-"))</f>
        <v/>
      </c>
      <c r="I34" s="42" t="str" cm="1">
        <f t="array" ref="I34">IF($D34="","",IFERROR(_xlfn.LET(_xlpm.types,공급설비!$C$3:$C$102,_xlpm.qty,공급설비!$G$3:$G$102,_xlpm.rooms,공급설비!$I$3:$I$102,_xlpm.valid,{"패키지에어컨","공조기","팬코일유닛"},_xlpm.matched,_xlfn._xlws.FILTER(_xlpm.types,(_xlpm.rooms=$D34)*ISNUMBER(MATCH(_xlpm.types,_xlpm.valid,0))),_xlpm.uniqueTypes,_xlfn.UNIQUE(_xlpm.matched),_xlfn.TEXTJOIN(", ",TRUE,_xlpm.uniqueTypes&amp;"("&amp;_xlfn.MAP(_xlpm.uniqueTypes,_xlfn.LAMBDA(_xlpm.t,SUM(_xlfn._xlws.FILTER(_xlpm.qty,(_xlpm.rooms=$D34)*(_xlpm.types=_xlpm.t)))))&amp;")")),"-"))</f>
        <v/>
      </c>
      <c r="J34" s="42" t="str" cm="1">
        <f t="array" ref="J34">IF($D34="","",IFERROR(_xlfn.TEXTJOIN(", ",TRUE,_xlfn._xlws.FILTER(환기설비!$B$3:$B$1006&amp;IF(환기설비!$F$3:$F$1006&lt;&gt;"","("&amp;환기설비!$F$3:$F$1006&amp;")",""),환기설비!$G$3:$G$1006=$D34)),""))</f>
        <v/>
      </c>
      <c r="K34" s="43">
        <f>COUNTIF(면!C:C,D34)+COUNTIF(면!H:H,D34)</f>
        <v>0</v>
      </c>
      <c r="L34" s="44">
        <f>SUMIFS(면!F:F, 면!C:C, D34, 면!D:D, "floor") + SUMIFS(면!F:F, 면!H:H, D34, 면!D:D, "ceiling")</f>
        <v>0</v>
      </c>
    </row>
    <row r="35" spans="2:12" ht="17.100000000000001" customHeight="1">
      <c r="B35" s="6"/>
      <c r="C35" s="6"/>
      <c r="D35" s="6"/>
      <c r="E35" s="6"/>
      <c r="F35" s="6"/>
      <c r="G35" s="35"/>
      <c r="H35" s="42" t="str" cm="1">
        <f t="array" ref="H35">IF($D35="","",IFERROR(_xlfn.LET(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_xlpm.matched,_xlfn._xlws.FILTER(_xlpm.types,(_xlpm.rooms=$D35)*ISNUMBER(MATCH(_xlpm.types,_xlpm.valid,0))),
_xlpm.uniqueTypes,_xlfn.UNIQUE(_xlpm.matched),
_xlpm.nums,_xlfn.MAP(_xlpm.uniqueTypes,_xlfn.LAMBDA(_xlpm.t,SUM(_xlfn._xlws.FILTER(_xlpm.qty,(_xlpm.rooms=$D35)*(_xlpm.types=_xlpm.t))))),
_xlfn.TEXTJOIN(", ",TRUE,
IF(
ISNUMBER(MATCH(_xlpm.uniqueTypes,{"바닥난방","전기바닥난방"},0)),
_xlpm.uniqueTypes,
_xlpm.uniqueTypes&amp;"("&amp;_xlpm.nums&amp;")"
))
),"-"))</f>
        <v/>
      </c>
      <c r="I35" s="42" t="str" cm="1">
        <f t="array" ref="I35">IF($D35="","",IFERROR(_xlfn.LET(_xlpm.types,공급설비!$C$3:$C$102,_xlpm.qty,공급설비!$G$3:$G$102,_xlpm.rooms,공급설비!$I$3:$I$102,_xlpm.valid,{"패키지에어컨","공조기","팬코일유닛"},_xlpm.matched,_xlfn._xlws.FILTER(_xlpm.types,(_xlpm.rooms=$D35)*ISNUMBER(MATCH(_xlpm.types,_xlpm.valid,0))),_xlpm.uniqueTypes,_xlfn.UNIQUE(_xlpm.matched),_xlfn.TEXTJOIN(", ",TRUE,_xlpm.uniqueTypes&amp;"("&amp;_xlfn.MAP(_xlpm.uniqueTypes,_xlfn.LAMBDA(_xlpm.t,SUM(_xlfn._xlws.FILTER(_xlpm.qty,(_xlpm.rooms=$D35)*(_xlpm.types=_xlpm.t)))))&amp;")")),"-"))</f>
        <v/>
      </c>
      <c r="J35" s="42" t="str" cm="1">
        <f t="array" ref="J35">IF($D35="","",IFERROR(_xlfn.TEXTJOIN(", ",TRUE,_xlfn._xlws.FILTER(환기설비!$B$3:$B$1006&amp;IF(환기설비!$F$3:$F$1006&lt;&gt;"","("&amp;환기설비!$F$3:$F$1006&amp;")",""),환기설비!$G$3:$G$1006=$D35)),""))</f>
        <v/>
      </c>
      <c r="K35" s="43">
        <f>COUNTIF(면!C:C,D35)+COUNTIF(면!H:H,D35)</f>
        <v>0</v>
      </c>
      <c r="L35" s="44">
        <f>SUMIFS(면!F:F, 면!C:C, D35, 면!D:D, "floor") + SUMIFS(면!F:F, 면!H:H, D35, 면!D:D, "ceiling")</f>
        <v>0</v>
      </c>
    </row>
    <row r="36" spans="2:12" ht="17.100000000000001" customHeight="1">
      <c r="B36" s="6"/>
      <c r="C36" s="6"/>
      <c r="D36" s="6"/>
      <c r="E36" s="6"/>
      <c r="F36" s="6"/>
      <c r="G36" s="35"/>
      <c r="H36" s="42" t="str" cm="1">
        <f t="array" ref="H36">IF($D36="","",IFERROR(_xlfn.LET(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_xlpm.matched,_xlfn._xlws.FILTER(_xlpm.types,(_xlpm.rooms=$D36)*ISNUMBER(MATCH(_xlpm.types,_xlpm.valid,0))),
_xlpm.uniqueTypes,_xlfn.UNIQUE(_xlpm.matched),
_xlpm.nums,_xlfn.MAP(_xlpm.uniqueTypes,_xlfn.LAMBDA(_xlpm.t,SUM(_xlfn._xlws.FILTER(_xlpm.qty,(_xlpm.rooms=$D36)*(_xlpm.types=_xlpm.t))))),
_xlfn.TEXTJOIN(", ",TRUE,
IF(
ISNUMBER(MATCH(_xlpm.uniqueTypes,{"바닥난방","전기바닥난방"},0)),
_xlpm.uniqueTypes,
_xlpm.uniqueTypes&amp;"("&amp;_xlpm.nums&amp;")"
))
),"-"))</f>
        <v/>
      </c>
      <c r="I36" s="42" t="str" cm="1">
        <f t="array" ref="I36">IF($D36="","",IFERROR(_xlfn.LET(_xlpm.types,공급설비!$C$3:$C$102,_xlpm.qty,공급설비!$G$3:$G$102,_xlpm.rooms,공급설비!$I$3:$I$102,_xlpm.valid,{"패키지에어컨","공조기","팬코일유닛"},_xlpm.matched,_xlfn._xlws.FILTER(_xlpm.types,(_xlpm.rooms=$D36)*ISNUMBER(MATCH(_xlpm.types,_xlpm.valid,0))),_xlpm.uniqueTypes,_xlfn.UNIQUE(_xlpm.matched),_xlfn.TEXTJOIN(", ",TRUE,_xlpm.uniqueTypes&amp;"("&amp;_xlfn.MAP(_xlpm.uniqueTypes,_xlfn.LAMBDA(_xlpm.t,SUM(_xlfn._xlws.FILTER(_xlpm.qty,(_xlpm.rooms=$D36)*(_xlpm.types=_xlpm.t)))))&amp;")")),"-"))</f>
        <v/>
      </c>
      <c r="J36" s="42" t="str" cm="1">
        <f t="array" ref="J36">IF($D36="","",IFERROR(_xlfn.TEXTJOIN(", ",TRUE,_xlfn._xlws.FILTER(환기설비!$B$3:$B$1006&amp;IF(환기설비!$F$3:$F$1006&lt;&gt;"","("&amp;환기설비!$F$3:$F$1006&amp;")",""),환기설비!$G$3:$G$1006=$D36)),""))</f>
        <v/>
      </c>
      <c r="K36" s="43">
        <f>COUNTIF(면!C:C,D36)+COUNTIF(면!H:H,D36)</f>
        <v>0</v>
      </c>
      <c r="L36" s="44">
        <f>SUMIFS(면!F:F, 면!C:C, D36, 면!D:D, "floor") + SUMIFS(면!F:F, 면!H:H, D36, 면!D:D, "ceiling")</f>
        <v>0</v>
      </c>
    </row>
    <row r="37" spans="2:12" ht="17.100000000000001" customHeight="1">
      <c r="B37" s="6"/>
      <c r="C37" s="6"/>
      <c r="D37" s="6"/>
      <c r="E37" s="6"/>
      <c r="F37" s="6"/>
      <c r="G37" s="35"/>
      <c r="H37" s="42" t="str" cm="1">
        <f t="array" ref="H37">IF($D37="","",IFERROR(_xlfn.LET(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_xlpm.matched,_xlfn._xlws.FILTER(_xlpm.types,(_xlpm.rooms=$D37)*ISNUMBER(MATCH(_xlpm.types,_xlpm.valid,0))),
_xlpm.uniqueTypes,_xlfn.UNIQUE(_xlpm.matched),
_xlpm.nums,_xlfn.MAP(_xlpm.uniqueTypes,_xlfn.LAMBDA(_xlpm.t,SUM(_xlfn._xlws.FILTER(_xlpm.qty,(_xlpm.rooms=$D37)*(_xlpm.types=_xlpm.t))))),
_xlfn.TEXTJOIN(", ",TRUE,
IF(
ISNUMBER(MATCH(_xlpm.uniqueTypes,{"바닥난방","전기바닥난방"},0)),
_xlpm.uniqueTypes,
_xlpm.uniqueTypes&amp;"("&amp;_xlpm.nums&amp;")"
))
),"-"))</f>
        <v/>
      </c>
      <c r="I37" s="42" t="str" cm="1">
        <f t="array" ref="I37">IF($D37="","",IFERROR(_xlfn.LET(_xlpm.types,공급설비!$C$3:$C$102,_xlpm.qty,공급설비!$G$3:$G$102,_xlpm.rooms,공급설비!$I$3:$I$102,_xlpm.valid,{"패키지에어컨","공조기","팬코일유닛"},_xlpm.matched,_xlfn._xlws.FILTER(_xlpm.types,(_xlpm.rooms=$D37)*ISNUMBER(MATCH(_xlpm.types,_xlpm.valid,0))),_xlpm.uniqueTypes,_xlfn.UNIQUE(_xlpm.matched),_xlfn.TEXTJOIN(", ",TRUE,_xlpm.uniqueTypes&amp;"("&amp;_xlfn.MAP(_xlpm.uniqueTypes,_xlfn.LAMBDA(_xlpm.t,SUM(_xlfn._xlws.FILTER(_xlpm.qty,(_xlpm.rooms=$D37)*(_xlpm.types=_xlpm.t)))))&amp;")")),"-"))</f>
        <v/>
      </c>
      <c r="J37" s="42" t="str" cm="1">
        <f t="array" ref="J37">IF($D37="","",IFERROR(_xlfn.TEXTJOIN(", ",TRUE,_xlfn._xlws.FILTER(환기설비!$B$3:$B$1006&amp;IF(환기설비!$F$3:$F$1006&lt;&gt;"","("&amp;환기설비!$F$3:$F$1006&amp;")",""),환기설비!$G$3:$G$1006=$D37)),""))</f>
        <v/>
      </c>
      <c r="K37" s="43">
        <f>COUNTIF(면!C:C,D37)+COUNTIF(면!H:H,D37)</f>
        <v>0</v>
      </c>
      <c r="L37" s="44">
        <f>SUMIFS(면!F:F, 면!C:C, D37, 면!D:D, "floor") + SUMIFS(면!F:F, 면!H:H, D37, 면!D:D, "ceiling")</f>
        <v>0</v>
      </c>
    </row>
    <row r="38" spans="2:12" ht="17.100000000000001" customHeight="1">
      <c r="B38" s="6"/>
      <c r="C38" s="6"/>
      <c r="D38" s="6"/>
      <c r="E38" s="6"/>
      <c r="F38" s="6"/>
      <c r="G38" s="35"/>
      <c r="H38" s="42" t="str" cm="1">
        <f t="array" ref="H38">IF($D38="","",IFERROR(_xlfn.LET(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_xlpm.matched,_xlfn._xlws.FILTER(_xlpm.types,(_xlpm.rooms=$D38)*ISNUMBER(MATCH(_xlpm.types,_xlpm.valid,0))),
_xlpm.uniqueTypes,_xlfn.UNIQUE(_xlpm.matched),
_xlpm.nums,_xlfn.MAP(_xlpm.uniqueTypes,_xlfn.LAMBDA(_xlpm.t,SUM(_xlfn._xlws.FILTER(_xlpm.qty,(_xlpm.rooms=$D38)*(_xlpm.types=_xlpm.t))))),
_xlfn.TEXTJOIN(", ",TRUE,
IF(
ISNUMBER(MATCH(_xlpm.uniqueTypes,{"바닥난방","전기바닥난방"},0)),
_xlpm.uniqueTypes,
_xlpm.uniqueTypes&amp;"("&amp;_xlpm.nums&amp;")"
))
),"-"))</f>
        <v/>
      </c>
      <c r="I38" s="42" t="str" cm="1">
        <f t="array" ref="I38">IF($D38="","",IFERROR(_xlfn.LET(_xlpm.types,공급설비!$C$3:$C$102,_xlpm.qty,공급설비!$G$3:$G$102,_xlpm.rooms,공급설비!$I$3:$I$102,_xlpm.valid,{"패키지에어컨","공조기","팬코일유닛"},_xlpm.matched,_xlfn._xlws.FILTER(_xlpm.types,(_xlpm.rooms=$D38)*ISNUMBER(MATCH(_xlpm.types,_xlpm.valid,0))),_xlpm.uniqueTypes,_xlfn.UNIQUE(_xlpm.matched),_xlfn.TEXTJOIN(", ",TRUE,_xlpm.uniqueTypes&amp;"("&amp;_xlfn.MAP(_xlpm.uniqueTypes,_xlfn.LAMBDA(_xlpm.t,SUM(_xlfn._xlws.FILTER(_xlpm.qty,(_xlpm.rooms=$D38)*(_xlpm.types=_xlpm.t)))))&amp;")")),"-"))</f>
        <v/>
      </c>
      <c r="J38" s="42" t="str" cm="1">
        <f t="array" ref="J38">IF($D38="","",IFERROR(_xlfn.TEXTJOIN(", ",TRUE,_xlfn._xlws.FILTER(환기설비!$B$3:$B$1006&amp;IF(환기설비!$F$3:$F$1006&lt;&gt;"","("&amp;환기설비!$F$3:$F$1006&amp;")",""),환기설비!$G$3:$G$1006=$D38)),""))</f>
        <v/>
      </c>
      <c r="K38" s="43">
        <f>COUNTIF(면!C:C,D38)+COUNTIF(면!H:H,D38)</f>
        <v>0</v>
      </c>
      <c r="L38" s="44">
        <f>SUMIFS(면!F:F, 면!C:C, D38, 면!D:D, "floor") + SUMIFS(면!F:F, 면!H:H, D38, 면!D:D, "ceiling")</f>
        <v>0</v>
      </c>
    </row>
    <row r="39" spans="2:12" ht="17.100000000000001" customHeight="1">
      <c r="B39" s="6"/>
      <c r="C39" s="6"/>
      <c r="D39" s="6"/>
      <c r="E39" s="6"/>
      <c r="F39" s="6"/>
      <c r="G39" s="35"/>
      <c r="H39" s="42" t="str" cm="1">
        <f t="array" ref="H39">IF($D39="","",IFERROR(_xlfn.LET(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_xlpm.matched,_xlfn._xlws.FILTER(_xlpm.types,(_xlpm.rooms=$D39)*ISNUMBER(MATCH(_xlpm.types,_xlpm.valid,0))),
_xlpm.uniqueTypes,_xlfn.UNIQUE(_xlpm.matched),
_xlpm.nums,_xlfn.MAP(_xlpm.uniqueTypes,_xlfn.LAMBDA(_xlpm.t,SUM(_xlfn._xlws.FILTER(_xlpm.qty,(_xlpm.rooms=$D39)*(_xlpm.types=_xlpm.t))))),
_xlfn.TEXTJOIN(", ",TRUE,
IF(
ISNUMBER(MATCH(_xlpm.uniqueTypes,{"바닥난방","전기바닥난방"},0)),
_xlpm.uniqueTypes,
_xlpm.uniqueTypes&amp;"("&amp;_xlpm.nums&amp;")"
))
),"-"))</f>
        <v/>
      </c>
      <c r="I39" s="42" t="str" cm="1">
        <f t="array" ref="I39">IF($D39="","",IFERROR(_xlfn.LET(_xlpm.types,공급설비!$C$3:$C$102,_xlpm.qty,공급설비!$G$3:$G$102,_xlpm.rooms,공급설비!$I$3:$I$102,_xlpm.valid,{"패키지에어컨","공조기","팬코일유닛"},_xlpm.matched,_xlfn._xlws.FILTER(_xlpm.types,(_xlpm.rooms=$D39)*ISNUMBER(MATCH(_xlpm.types,_xlpm.valid,0))),_xlpm.uniqueTypes,_xlfn.UNIQUE(_xlpm.matched),_xlfn.TEXTJOIN(", ",TRUE,_xlpm.uniqueTypes&amp;"("&amp;_xlfn.MAP(_xlpm.uniqueTypes,_xlfn.LAMBDA(_xlpm.t,SUM(_xlfn._xlws.FILTER(_xlpm.qty,(_xlpm.rooms=$D39)*(_xlpm.types=_xlpm.t)))))&amp;")")),"-"))</f>
        <v/>
      </c>
      <c r="J39" s="42" t="str" cm="1">
        <f t="array" ref="J39">IF($D39="","",IFERROR(_xlfn.TEXTJOIN(", ",TRUE,_xlfn._xlws.FILTER(환기설비!$B$3:$B$1006&amp;IF(환기설비!$F$3:$F$1006&lt;&gt;"","("&amp;환기설비!$F$3:$F$1006&amp;")",""),환기설비!$G$3:$G$1006=$D39)),""))</f>
        <v/>
      </c>
      <c r="K39" s="43">
        <f>COUNTIF(면!C:C,D39)+COUNTIF(면!H:H,D39)</f>
        <v>0</v>
      </c>
      <c r="L39" s="44">
        <f>SUMIFS(면!F:F, 면!C:C, D39, 면!D:D, "floor") + SUMIFS(면!F:F, 면!H:H, D39, 면!D:D, "ceiling")</f>
        <v>0</v>
      </c>
    </row>
    <row r="40" spans="2:12" ht="17.100000000000001" customHeight="1">
      <c r="B40" s="6"/>
      <c r="C40" s="6"/>
      <c r="D40" s="6"/>
      <c r="E40" s="6"/>
      <c r="F40" s="6"/>
      <c r="G40" s="35"/>
      <c r="H40" s="42" t="str" cm="1">
        <f t="array" ref="H40">IF($D40="","",IFERROR(_xlfn.LET(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_xlpm.matched,_xlfn._xlws.FILTER(_xlpm.types,(_xlpm.rooms=$D40)*ISNUMBER(MATCH(_xlpm.types,_xlpm.valid,0))),
_xlpm.uniqueTypes,_xlfn.UNIQUE(_xlpm.matched),
_xlpm.nums,_xlfn.MAP(_xlpm.uniqueTypes,_xlfn.LAMBDA(_xlpm.t,SUM(_xlfn._xlws.FILTER(_xlpm.qty,(_xlpm.rooms=$D40)*(_xlpm.types=_xlpm.t))))),
_xlfn.TEXTJOIN(", ",TRUE,
IF(
ISNUMBER(MATCH(_xlpm.uniqueTypes,{"바닥난방","전기바닥난방"},0)),
_xlpm.uniqueTypes,
_xlpm.uniqueTypes&amp;"("&amp;_xlpm.nums&amp;")"
))
),"-"))</f>
        <v/>
      </c>
      <c r="I40" s="42" t="str" cm="1">
        <f t="array" ref="I40">IF($D40="","",IFERROR(_xlfn.LET(_xlpm.types,공급설비!$C$3:$C$102,_xlpm.qty,공급설비!$G$3:$G$102,_xlpm.rooms,공급설비!$I$3:$I$102,_xlpm.valid,{"패키지에어컨","공조기","팬코일유닛"},_xlpm.matched,_xlfn._xlws.FILTER(_xlpm.types,(_xlpm.rooms=$D40)*ISNUMBER(MATCH(_xlpm.types,_xlpm.valid,0))),_xlpm.uniqueTypes,_xlfn.UNIQUE(_xlpm.matched),_xlfn.TEXTJOIN(", ",TRUE,_xlpm.uniqueTypes&amp;"("&amp;_xlfn.MAP(_xlpm.uniqueTypes,_xlfn.LAMBDA(_xlpm.t,SUM(_xlfn._xlws.FILTER(_xlpm.qty,(_xlpm.rooms=$D40)*(_xlpm.types=_xlpm.t)))))&amp;")")),"-"))</f>
        <v/>
      </c>
      <c r="J40" s="42" t="str" cm="1">
        <f t="array" ref="J40">IF($D40="","",IFERROR(_xlfn.TEXTJOIN(", ",TRUE,_xlfn._xlws.FILTER(환기설비!$B$3:$B$1006&amp;IF(환기설비!$F$3:$F$1006&lt;&gt;"","("&amp;환기설비!$F$3:$F$1006&amp;")",""),환기설비!$G$3:$G$1006=$D40)),""))</f>
        <v/>
      </c>
      <c r="K40" s="43">
        <f>COUNTIF(면!C:C,D40)+COUNTIF(면!H:H,D40)</f>
        <v>0</v>
      </c>
      <c r="L40" s="44">
        <f>SUMIFS(면!F:F, 면!C:C, D40, 면!D:D, "floor") + SUMIFS(면!F:F, 면!H:H, D40, 면!D:D, "ceiling")</f>
        <v>0</v>
      </c>
    </row>
    <row r="41" spans="2:12" ht="17.100000000000001" customHeight="1">
      <c r="B41" s="6"/>
      <c r="C41" s="6"/>
      <c r="D41" s="6"/>
      <c r="E41" s="6"/>
      <c r="F41" s="6"/>
      <c r="G41" s="35"/>
      <c r="H41" s="42" t="str" cm="1">
        <f t="array" ref="H41">IF($D41="","",IFERROR(_xlfn.LET(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_xlpm.matched,_xlfn._xlws.FILTER(_xlpm.types,(_xlpm.rooms=$D41)*ISNUMBER(MATCH(_xlpm.types,_xlpm.valid,0))),
_xlpm.uniqueTypes,_xlfn.UNIQUE(_xlpm.matched),
_xlpm.nums,_xlfn.MAP(_xlpm.uniqueTypes,_xlfn.LAMBDA(_xlpm.t,SUM(_xlfn._xlws.FILTER(_xlpm.qty,(_xlpm.rooms=$D41)*(_xlpm.types=_xlpm.t))))),
_xlfn.TEXTJOIN(", ",TRUE,
IF(
ISNUMBER(MATCH(_xlpm.uniqueTypes,{"바닥난방","전기바닥난방"},0)),
_xlpm.uniqueTypes,
_xlpm.uniqueTypes&amp;"("&amp;_xlpm.nums&amp;")"
))
),"-"))</f>
        <v/>
      </c>
      <c r="I41" s="42" t="str" cm="1">
        <f t="array" ref="I41">IF($D41="","",IFERROR(_xlfn.LET(_xlpm.types,공급설비!$C$3:$C$102,_xlpm.qty,공급설비!$G$3:$G$102,_xlpm.rooms,공급설비!$I$3:$I$102,_xlpm.valid,{"패키지에어컨","공조기","팬코일유닛"},_xlpm.matched,_xlfn._xlws.FILTER(_xlpm.types,(_xlpm.rooms=$D41)*ISNUMBER(MATCH(_xlpm.types,_xlpm.valid,0))),_xlpm.uniqueTypes,_xlfn.UNIQUE(_xlpm.matched),_xlfn.TEXTJOIN(", ",TRUE,_xlpm.uniqueTypes&amp;"("&amp;_xlfn.MAP(_xlpm.uniqueTypes,_xlfn.LAMBDA(_xlpm.t,SUM(_xlfn._xlws.FILTER(_xlpm.qty,(_xlpm.rooms=$D41)*(_xlpm.types=_xlpm.t)))))&amp;")")),"-"))</f>
        <v/>
      </c>
      <c r="J41" s="42" t="str" cm="1">
        <f t="array" ref="J41">IF($D41="","",IFERROR(_xlfn.TEXTJOIN(", ",TRUE,_xlfn._xlws.FILTER(환기설비!$B$3:$B$1006&amp;IF(환기설비!$F$3:$F$1006&lt;&gt;"","("&amp;환기설비!$F$3:$F$1006&amp;")",""),환기설비!$G$3:$G$1006=$D41)),""))</f>
        <v/>
      </c>
      <c r="K41" s="43">
        <f>COUNTIF(면!C:C,D41)+COUNTIF(면!H:H,D41)</f>
        <v>0</v>
      </c>
      <c r="L41" s="44">
        <f>SUMIFS(면!F:F, 면!C:C, D41, 면!D:D, "floor") + SUMIFS(면!F:F, 면!H:H, D41, 면!D:D, "ceiling")</f>
        <v>0</v>
      </c>
    </row>
    <row r="42" spans="2:12" ht="17.100000000000001" customHeight="1">
      <c r="B42" s="6"/>
      <c r="C42" s="6"/>
      <c r="D42" s="6"/>
      <c r="E42" s="6"/>
      <c r="F42" s="6"/>
      <c r="G42" s="35"/>
      <c r="H42" s="42" t="str" cm="1">
        <f t="array" ref="H42">IF($D42="","",IFERROR(_xlfn.LET(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_xlpm.matched,_xlfn._xlws.FILTER(_xlpm.types,(_xlpm.rooms=$D42)*ISNUMBER(MATCH(_xlpm.types,_xlpm.valid,0))),
_xlpm.uniqueTypes,_xlfn.UNIQUE(_xlpm.matched),
_xlpm.nums,_xlfn.MAP(_xlpm.uniqueTypes,_xlfn.LAMBDA(_xlpm.t,SUM(_xlfn._xlws.FILTER(_xlpm.qty,(_xlpm.rooms=$D42)*(_xlpm.types=_xlpm.t))))),
_xlfn.TEXTJOIN(", ",TRUE,
IF(
ISNUMBER(MATCH(_xlpm.uniqueTypes,{"바닥난방","전기바닥난방"},0)),
_xlpm.uniqueTypes,
_xlpm.uniqueTypes&amp;"("&amp;_xlpm.nums&amp;")"
))
),"-"))</f>
        <v/>
      </c>
      <c r="I42" s="42" t="str" cm="1">
        <f t="array" ref="I42">IF($D42="","",IFERROR(_xlfn.LET(_xlpm.types,공급설비!$C$3:$C$102,_xlpm.qty,공급설비!$G$3:$G$102,_xlpm.rooms,공급설비!$I$3:$I$102,_xlpm.valid,{"패키지에어컨","공조기","팬코일유닛"},_xlpm.matched,_xlfn._xlws.FILTER(_xlpm.types,(_xlpm.rooms=$D42)*ISNUMBER(MATCH(_xlpm.types,_xlpm.valid,0))),_xlpm.uniqueTypes,_xlfn.UNIQUE(_xlpm.matched),_xlfn.TEXTJOIN(", ",TRUE,_xlpm.uniqueTypes&amp;"("&amp;_xlfn.MAP(_xlpm.uniqueTypes,_xlfn.LAMBDA(_xlpm.t,SUM(_xlfn._xlws.FILTER(_xlpm.qty,(_xlpm.rooms=$D42)*(_xlpm.types=_xlpm.t)))))&amp;")")),"-"))</f>
        <v/>
      </c>
      <c r="J42" s="42" t="str" cm="1">
        <f t="array" ref="J42">IF($D42="","",IFERROR(_xlfn.TEXTJOIN(", ",TRUE,_xlfn._xlws.FILTER(환기설비!$B$3:$B$1006&amp;IF(환기설비!$F$3:$F$1006&lt;&gt;"","("&amp;환기설비!$F$3:$F$1006&amp;")",""),환기설비!$G$3:$G$1006=$D42)),""))</f>
        <v/>
      </c>
      <c r="K42" s="43">
        <f>COUNTIF(면!C:C,D42)+COUNTIF(면!H:H,D42)</f>
        <v>0</v>
      </c>
      <c r="L42" s="44">
        <f>SUMIFS(면!F:F, 면!C:C, D42, 면!D:D, "floor") + SUMIFS(면!F:F, 면!H:H, D42, 면!D:D, "ceiling")</f>
        <v>0</v>
      </c>
    </row>
    <row r="43" spans="2:12" ht="17.100000000000001" customHeight="1">
      <c r="B43" s="6"/>
      <c r="C43" s="6"/>
      <c r="D43" s="6"/>
      <c r="E43" s="6"/>
      <c r="F43" s="6"/>
      <c r="G43" s="35"/>
      <c r="H43" s="42" t="str" cm="1">
        <f t="array" ref="H43">IF($D43="","",IFERROR(_xlfn.LET(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_xlpm.matched,_xlfn._xlws.FILTER(_xlpm.types,(_xlpm.rooms=$D43)*ISNUMBER(MATCH(_xlpm.types,_xlpm.valid,0))),
_xlpm.uniqueTypes,_xlfn.UNIQUE(_xlpm.matched),
_xlpm.nums,_xlfn.MAP(_xlpm.uniqueTypes,_xlfn.LAMBDA(_xlpm.t,SUM(_xlfn._xlws.FILTER(_xlpm.qty,(_xlpm.rooms=$D43)*(_xlpm.types=_xlpm.t))))),
_xlfn.TEXTJOIN(", ",TRUE,
IF(
ISNUMBER(MATCH(_xlpm.uniqueTypes,{"바닥난방","전기바닥난방"},0)),
_xlpm.uniqueTypes,
_xlpm.uniqueTypes&amp;"("&amp;_xlpm.nums&amp;")"
))
),"-"))</f>
        <v/>
      </c>
      <c r="I43" s="42" t="str" cm="1">
        <f t="array" ref="I43">IF($D43="","",IFERROR(_xlfn.LET(_xlpm.types,공급설비!$C$3:$C$102,_xlpm.qty,공급설비!$G$3:$G$102,_xlpm.rooms,공급설비!$I$3:$I$102,_xlpm.valid,{"패키지에어컨","공조기","팬코일유닛"},_xlpm.matched,_xlfn._xlws.FILTER(_xlpm.types,(_xlpm.rooms=$D43)*ISNUMBER(MATCH(_xlpm.types,_xlpm.valid,0))),_xlpm.uniqueTypes,_xlfn.UNIQUE(_xlpm.matched),_xlfn.TEXTJOIN(", ",TRUE,_xlpm.uniqueTypes&amp;"("&amp;_xlfn.MAP(_xlpm.uniqueTypes,_xlfn.LAMBDA(_xlpm.t,SUM(_xlfn._xlws.FILTER(_xlpm.qty,(_xlpm.rooms=$D43)*(_xlpm.types=_xlpm.t)))))&amp;")")),"-"))</f>
        <v/>
      </c>
      <c r="J43" s="42" t="str" cm="1">
        <f t="array" ref="J43">IF($D43="","",IFERROR(_xlfn.TEXTJOIN(", ",TRUE,_xlfn._xlws.FILTER(환기설비!$B$3:$B$1006&amp;IF(환기설비!$F$3:$F$1006&lt;&gt;"","("&amp;환기설비!$F$3:$F$1006&amp;")",""),환기설비!$G$3:$G$1006=$D43)),""))</f>
        <v/>
      </c>
      <c r="K43" s="43">
        <f>COUNTIF(면!C:C,D43)+COUNTIF(면!H:H,D43)</f>
        <v>0</v>
      </c>
      <c r="L43" s="44">
        <f>SUMIFS(면!F:F, 면!C:C, D43, 면!D:D, "floor") + SUMIFS(면!F:F, 면!H:H, D43, 면!D:D, "ceiling")</f>
        <v>0</v>
      </c>
    </row>
    <row r="44" spans="2:12" ht="17.100000000000001" customHeight="1">
      <c r="B44" s="6"/>
      <c r="C44" s="6"/>
      <c r="D44" s="6"/>
      <c r="E44" s="6"/>
      <c r="F44" s="6"/>
      <c r="G44" s="35"/>
      <c r="H44" s="42" t="str" cm="1">
        <f t="array" ref="H44">IF($D44="","",IFERROR(_xlfn.LET(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_xlpm.matched,_xlfn._xlws.FILTER(_xlpm.types,(_xlpm.rooms=$D44)*ISNUMBER(MATCH(_xlpm.types,_xlpm.valid,0))),
_xlpm.uniqueTypes,_xlfn.UNIQUE(_xlpm.matched),
_xlpm.nums,_xlfn.MAP(_xlpm.uniqueTypes,_xlfn.LAMBDA(_xlpm.t,SUM(_xlfn._xlws.FILTER(_xlpm.qty,(_xlpm.rooms=$D44)*(_xlpm.types=_xlpm.t))))),
_xlfn.TEXTJOIN(", ",TRUE,
IF(
ISNUMBER(MATCH(_xlpm.uniqueTypes,{"바닥난방","전기바닥난방"},0)),
_xlpm.uniqueTypes,
_xlpm.uniqueTypes&amp;"("&amp;_xlpm.nums&amp;")"
))
),"-"))</f>
        <v/>
      </c>
      <c r="I44" s="42" t="str" cm="1">
        <f t="array" ref="I44">IF($D44="","",IFERROR(_xlfn.LET(_xlpm.types,공급설비!$C$3:$C$102,_xlpm.qty,공급설비!$G$3:$G$102,_xlpm.rooms,공급설비!$I$3:$I$102,_xlpm.valid,{"패키지에어컨","공조기","팬코일유닛"},_xlpm.matched,_xlfn._xlws.FILTER(_xlpm.types,(_xlpm.rooms=$D44)*ISNUMBER(MATCH(_xlpm.types,_xlpm.valid,0))),_xlpm.uniqueTypes,_xlfn.UNIQUE(_xlpm.matched),_xlfn.TEXTJOIN(", ",TRUE,_xlpm.uniqueTypes&amp;"("&amp;_xlfn.MAP(_xlpm.uniqueTypes,_xlfn.LAMBDA(_xlpm.t,SUM(_xlfn._xlws.FILTER(_xlpm.qty,(_xlpm.rooms=$D44)*(_xlpm.types=_xlpm.t)))))&amp;")")),"-"))</f>
        <v/>
      </c>
      <c r="J44" s="42" t="str" cm="1">
        <f t="array" ref="J44">IF($D44="","",IFERROR(_xlfn.TEXTJOIN(", ",TRUE,_xlfn._xlws.FILTER(환기설비!$B$3:$B$1006&amp;IF(환기설비!$F$3:$F$1006&lt;&gt;"","("&amp;환기설비!$F$3:$F$1006&amp;")",""),환기설비!$G$3:$G$1006=$D44)),""))</f>
        <v/>
      </c>
      <c r="K44" s="43">
        <f>COUNTIF(면!C:C,D44)+COUNTIF(면!H:H,D44)</f>
        <v>0</v>
      </c>
      <c r="L44" s="44">
        <f>SUMIFS(면!F:F, 면!C:C, D44, 면!D:D, "floor") + SUMIFS(면!F:F, 면!H:H, D44, 면!D:D, "ceiling")</f>
        <v>0</v>
      </c>
    </row>
    <row r="45" spans="2:12" ht="17.100000000000001" customHeight="1">
      <c r="B45" s="6"/>
      <c r="C45" s="6"/>
      <c r="D45" s="6"/>
      <c r="E45" s="6"/>
      <c r="F45" s="6"/>
      <c r="G45" s="35"/>
      <c r="H45" s="42" t="str" cm="1">
        <f t="array" ref="H45">IF($D45="","",IFERROR(_xlfn.LET(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_xlpm.matched,_xlfn._xlws.FILTER(_xlpm.types,(_xlpm.rooms=$D45)*ISNUMBER(MATCH(_xlpm.types,_xlpm.valid,0))),
_xlpm.uniqueTypes,_xlfn.UNIQUE(_xlpm.matched),
_xlpm.nums,_xlfn.MAP(_xlpm.uniqueTypes,_xlfn.LAMBDA(_xlpm.t,SUM(_xlfn._xlws.FILTER(_xlpm.qty,(_xlpm.rooms=$D45)*(_xlpm.types=_xlpm.t))))),
_xlfn.TEXTJOIN(", ",TRUE,
IF(
ISNUMBER(MATCH(_xlpm.uniqueTypes,{"바닥난방","전기바닥난방"},0)),
_xlpm.uniqueTypes,
_xlpm.uniqueTypes&amp;"("&amp;_xlpm.nums&amp;")"
))
),"-"))</f>
        <v/>
      </c>
      <c r="I45" s="42" t="str" cm="1">
        <f t="array" ref="I45">IF($D45="","",IFERROR(_xlfn.LET(_xlpm.types,공급설비!$C$3:$C$102,_xlpm.qty,공급설비!$G$3:$G$102,_xlpm.rooms,공급설비!$I$3:$I$102,_xlpm.valid,{"패키지에어컨","공조기","팬코일유닛"},_xlpm.matched,_xlfn._xlws.FILTER(_xlpm.types,(_xlpm.rooms=$D45)*ISNUMBER(MATCH(_xlpm.types,_xlpm.valid,0))),_xlpm.uniqueTypes,_xlfn.UNIQUE(_xlpm.matched),_xlfn.TEXTJOIN(", ",TRUE,_xlpm.uniqueTypes&amp;"("&amp;_xlfn.MAP(_xlpm.uniqueTypes,_xlfn.LAMBDA(_xlpm.t,SUM(_xlfn._xlws.FILTER(_xlpm.qty,(_xlpm.rooms=$D45)*(_xlpm.types=_xlpm.t)))))&amp;")")),"-"))</f>
        <v/>
      </c>
      <c r="J45" s="42" t="str" cm="1">
        <f t="array" ref="J45">IF($D45="","",IFERROR(_xlfn.TEXTJOIN(", ",TRUE,_xlfn._xlws.FILTER(환기설비!$B$3:$B$1006&amp;IF(환기설비!$F$3:$F$1006&lt;&gt;"","("&amp;환기설비!$F$3:$F$1006&amp;")",""),환기설비!$G$3:$G$1006=$D45)),""))</f>
        <v/>
      </c>
      <c r="K45" s="43">
        <f>COUNTIF(면!C:C,D45)+COUNTIF(면!H:H,D45)</f>
        <v>0</v>
      </c>
      <c r="L45" s="44">
        <f>SUMIFS(면!F:F, 면!C:C, D45, 면!D:D, "floor") + SUMIFS(면!F:F, 면!H:H, D45, 면!D:D, "ceiling")</f>
        <v>0</v>
      </c>
    </row>
    <row r="46" spans="2:12" ht="17.100000000000001" customHeight="1">
      <c r="B46" s="6"/>
      <c r="C46" s="6"/>
      <c r="D46" s="6"/>
      <c r="E46" s="6"/>
      <c r="F46" s="6"/>
      <c r="G46" s="35"/>
      <c r="H46" s="42" t="str" cm="1">
        <f t="array" ref="H46">IF($D46="","",IFERROR(_xlfn.LET(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_xlpm.matched,_xlfn._xlws.FILTER(_xlpm.types,(_xlpm.rooms=$D46)*ISNUMBER(MATCH(_xlpm.types,_xlpm.valid,0))),
_xlpm.uniqueTypes,_xlfn.UNIQUE(_xlpm.matched),
_xlpm.nums,_xlfn.MAP(_xlpm.uniqueTypes,_xlfn.LAMBDA(_xlpm.t,SUM(_xlfn._xlws.FILTER(_xlpm.qty,(_xlpm.rooms=$D46)*(_xlpm.types=_xlpm.t))))),
_xlfn.TEXTJOIN(", ",TRUE,
IF(
ISNUMBER(MATCH(_xlpm.uniqueTypes,{"바닥난방","전기바닥난방"},0)),
_xlpm.uniqueTypes,
_xlpm.uniqueTypes&amp;"("&amp;_xlpm.nums&amp;")"
))
),"-"))</f>
        <v/>
      </c>
      <c r="I46" s="42" t="str" cm="1">
        <f t="array" ref="I46">IF($D46="","",IFERROR(_xlfn.LET(_xlpm.types,공급설비!$C$3:$C$102,_xlpm.qty,공급설비!$G$3:$G$102,_xlpm.rooms,공급설비!$I$3:$I$102,_xlpm.valid,{"패키지에어컨","공조기","팬코일유닛"},_xlpm.matched,_xlfn._xlws.FILTER(_xlpm.types,(_xlpm.rooms=$D46)*ISNUMBER(MATCH(_xlpm.types,_xlpm.valid,0))),_xlpm.uniqueTypes,_xlfn.UNIQUE(_xlpm.matched),_xlfn.TEXTJOIN(", ",TRUE,_xlpm.uniqueTypes&amp;"("&amp;_xlfn.MAP(_xlpm.uniqueTypes,_xlfn.LAMBDA(_xlpm.t,SUM(_xlfn._xlws.FILTER(_xlpm.qty,(_xlpm.rooms=$D46)*(_xlpm.types=_xlpm.t)))))&amp;")")),"-"))</f>
        <v/>
      </c>
      <c r="J46" s="42" t="str" cm="1">
        <f t="array" ref="J46">IF($D46="","",IFERROR(_xlfn.TEXTJOIN(", ",TRUE,_xlfn._xlws.FILTER(환기설비!$B$3:$B$1006&amp;IF(환기설비!$F$3:$F$1006&lt;&gt;"","("&amp;환기설비!$F$3:$F$1006&amp;")",""),환기설비!$G$3:$G$1006=$D46)),""))</f>
        <v/>
      </c>
      <c r="K46" s="43">
        <f>COUNTIF(면!C:C,D46)+COUNTIF(면!H:H,D46)</f>
        <v>0</v>
      </c>
      <c r="L46" s="44">
        <f>SUMIFS(면!F:F, 면!C:C, D46, 면!D:D, "floor") + SUMIFS(면!F:F, 면!H:H, D46, 면!D:D, "ceiling")</f>
        <v>0</v>
      </c>
    </row>
    <row r="47" spans="2:12" ht="17.100000000000001" customHeight="1">
      <c r="B47" s="6"/>
      <c r="C47" s="6"/>
      <c r="D47" s="6"/>
      <c r="E47" s="6"/>
      <c r="F47" s="6"/>
      <c r="G47" s="35"/>
      <c r="H47" s="42" t="str" cm="1">
        <f t="array" ref="H47">IF($D47="","",IFERROR(_xlfn.LET(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_xlpm.matched,_xlfn._xlws.FILTER(_xlpm.types,(_xlpm.rooms=$D47)*ISNUMBER(MATCH(_xlpm.types,_xlpm.valid,0))),
_xlpm.uniqueTypes,_xlfn.UNIQUE(_xlpm.matched),
_xlpm.nums,_xlfn.MAP(_xlpm.uniqueTypes,_xlfn.LAMBDA(_xlpm.t,SUM(_xlfn._xlws.FILTER(_xlpm.qty,(_xlpm.rooms=$D47)*(_xlpm.types=_xlpm.t))))),
_xlfn.TEXTJOIN(", ",TRUE,
IF(
ISNUMBER(MATCH(_xlpm.uniqueTypes,{"바닥난방","전기바닥난방"},0)),
_xlpm.uniqueTypes,
_xlpm.uniqueTypes&amp;"("&amp;_xlpm.nums&amp;")"
))
),"-"))</f>
        <v/>
      </c>
      <c r="I47" s="42" t="str" cm="1">
        <f t="array" ref="I47">IF($D47="","",IFERROR(_xlfn.LET(_xlpm.types,공급설비!$C$3:$C$102,_xlpm.qty,공급설비!$G$3:$G$102,_xlpm.rooms,공급설비!$I$3:$I$102,_xlpm.valid,{"패키지에어컨","공조기","팬코일유닛"},_xlpm.matched,_xlfn._xlws.FILTER(_xlpm.types,(_xlpm.rooms=$D47)*ISNUMBER(MATCH(_xlpm.types,_xlpm.valid,0))),_xlpm.uniqueTypes,_xlfn.UNIQUE(_xlpm.matched),_xlfn.TEXTJOIN(", ",TRUE,_xlpm.uniqueTypes&amp;"("&amp;_xlfn.MAP(_xlpm.uniqueTypes,_xlfn.LAMBDA(_xlpm.t,SUM(_xlfn._xlws.FILTER(_xlpm.qty,(_xlpm.rooms=$D47)*(_xlpm.types=_xlpm.t)))))&amp;")")),"-"))</f>
        <v/>
      </c>
      <c r="J47" s="42" t="str" cm="1">
        <f t="array" ref="J47">IF($D47="","",IFERROR(_xlfn.TEXTJOIN(", ",TRUE,_xlfn._xlws.FILTER(환기설비!$B$3:$B$1006&amp;IF(환기설비!$F$3:$F$1006&lt;&gt;"","("&amp;환기설비!$F$3:$F$1006&amp;")",""),환기설비!$G$3:$G$1006=$D47)),""))</f>
        <v/>
      </c>
      <c r="K47" s="43">
        <f>COUNTIF(면!C:C,D47)+COUNTIF(면!H:H,D47)</f>
        <v>0</v>
      </c>
      <c r="L47" s="44">
        <f>SUMIFS(면!F:F, 면!C:C, D47, 면!D:D, "floor") + SUMIFS(면!F:F, 면!H:H, D47, 면!D:D, "ceiling")</f>
        <v>0</v>
      </c>
    </row>
    <row r="48" spans="2:12" ht="17.100000000000001" customHeight="1">
      <c r="B48" s="6"/>
      <c r="C48" s="6"/>
      <c r="D48" s="6"/>
      <c r="E48" s="6"/>
      <c r="F48" s="6"/>
      <c r="G48" s="35"/>
      <c r="H48" s="42" t="str" cm="1">
        <f t="array" ref="H48">IF($D48="","",IFERROR(_xlfn.LET(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_xlpm.matched,_xlfn._xlws.FILTER(_xlpm.types,(_xlpm.rooms=$D48)*ISNUMBER(MATCH(_xlpm.types,_xlpm.valid,0))),
_xlpm.uniqueTypes,_xlfn.UNIQUE(_xlpm.matched),
_xlpm.nums,_xlfn.MAP(_xlpm.uniqueTypes,_xlfn.LAMBDA(_xlpm.t,SUM(_xlfn._xlws.FILTER(_xlpm.qty,(_xlpm.rooms=$D48)*(_xlpm.types=_xlpm.t))))),
_xlfn.TEXTJOIN(", ",TRUE,
IF(
ISNUMBER(MATCH(_xlpm.uniqueTypes,{"바닥난방","전기바닥난방"},0)),
_xlpm.uniqueTypes,
_xlpm.uniqueTypes&amp;"("&amp;_xlpm.nums&amp;")"
))
),"-"))</f>
        <v/>
      </c>
      <c r="I48" s="42" t="str" cm="1">
        <f t="array" ref="I48">IF($D48="","",IFERROR(_xlfn.LET(_xlpm.types,공급설비!$C$3:$C$102,_xlpm.qty,공급설비!$G$3:$G$102,_xlpm.rooms,공급설비!$I$3:$I$102,_xlpm.valid,{"패키지에어컨","공조기","팬코일유닛"},_xlpm.matched,_xlfn._xlws.FILTER(_xlpm.types,(_xlpm.rooms=$D48)*ISNUMBER(MATCH(_xlpm.types,_xlpm.valid,0))),_xlpm.uniqueTypes,_xlfn.UNIQUE(_xlpm.matched),_xlfn.TEXTJOIN(", ",TRUE,_xlpm.uniqueTypes&amp;"("&amp;_xlfn.MAP(_xlpm.uniqueTypes,_xlfn.LAMBDA(_xlpm.t,SUM(_xlfn._xlws.FILTER(_xlpm.qty,(_xlpm.rooms=$D48)*(_xlpm.types=_xlpm.t)))))&amp;")")),"-"))</f>
        <v/>
      </c>
      <c r="J48" s="42" t="str" cm="1">
        <f t="array" ref="J48">IF($D48="","",IFERROR(_xlfn.TEXTJOIN(", ",TRUE,_xlfn._xlws.FILTER(환기설비!$B$3:$B$1006&amp;IF(환기설비!$F$3:$F$1006&lt;&gt;"","("&amp;환기설비!$F$3:$F$1006&amp;")",""),환기설비!$G$3:$G$1006=$D48)),""))</f>
        <v/>
      </c>
      <c r="K48" s="43">
        <f>COUNTIF(면!C:C,D48)+COUNTIF(면!H:H,D48)</f>
        <v>0</v>
      </c>
      <c r="L48" s="44">
        <f>SUMIFS(면!F:F, 면!C:C, D48, 면!D:D, "floor") + SUMIFS(면!F:F, 면!H:H, D48, 면!D:D, "ceiling")</f>
        <v>0</v>
      </c>
    </row>
    <row r="49" spans="2:12" ht="17.100000000000001" customHeight="1">
      <c r="B49" s="6"/>
      <c r="C49" s="6"/>
      <c r="D49" s="6"/>
      <c r="E49" s="6"/>
      <c r="F49" s="6"/>
      <c r="G49" s="35"/>
      <c r="H49" s="42" t="str" cm="1">
        <f t="array" ref="H49">IF($D49="","",IFERROR(_xlfn.LET(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_xlpm.matched,_xlfn._xlws.FILTER(_xlpm.types,(_xlpm.rooms=$D49)*ISNUMBER(MATCH(_xlpm.types,_xlpm.valid,0))),
_xlpm.uniqueTypes,_xlfn.UNIQUE(_xlpm.matched),
_xlpm.nums,_xlfn.MAP(_xlpm.uniqueTypes,_xlfn.LAMBDA(_xlpm.t,SUM(_xlfn._xlws.FILTER(_xlpm.qty,(_xlpm.rooms=$D49)*(_xlpm.types=_xlpm.t))))),
_xlfn.TEXTJOIN(", ",TRUE,
IF(
ISNUMBER(MATCH(_xlpm.uniqueTypes,{"바닥난방","전기바닥난방"},0)),
_xlpm.uniqueTypes,
_xlpm.uniqueTypes&amp;"("&amp;_xlpm.nums&amp;")"
))
),"-"))</f>
        <v/>
      </c>
      <c r="I49" s="42" t="str" cm="1">
        <f t="array" ref="I49">IF($D49="","",IFERROR(_xlfn.LET(_xlpm.types,공급설비!$C$3:$C$102,_xlpm.qty,공급설비!$G$3:$G$102,_xlpm.rooms,공급설비!$I$3:$I$102,_xlpm.valid,{"패키지에어컨","공조기","팬코일유닛"},_xlpm.matched,_xlfn._xlws.FILTER(_xlpm.types,(_xlpm.rooms=$D49)*ISNUMBER(MATCH(_xlpm.types,_xlpm.valid,0))),_xlpm.uniqueTypes,_xlfn.UNIQUE(_xlpm.matched),_xlfn.TEXTJOIN(", ",TRUE,_xlpm.uniqueTypes&amp;"("&amp;_xlfn.MAP(_xlpm.uniqueTypes,_xlfn.LAMBDA(_xlpm.t,SUM(_xlfn._xlws.FILTER(_xlpm.qty,(_xlpm.rooms=$D49)*(_xlpm.types=_xlpm.t)))))&amp;")")),"-"))</f>
        <v/>
      </c>
      <c r="J49" s="42" t="str" cm="1">
        <f t="array" ref="J49">IF($D49="","",IFERROR(_xlfn.TEXTJOIN(", ",TRUE,_xlfn._xlws.FILTER(환기설비!$B$3:$B$1006&amp;IF(환기설비!$F$3:$F$1006&lt;&gt;"","("&amp;환기설비!$F$3:$F$1006&amp;")",""),환기설비!$G$3:$G$1006=$D49)),""))</f>
        <v/>
      </c>
      <c r="K49" s="43">
        <f>COUNTIF(면!C:C,D49)+COUNTIF(면!H:H,D49)</f>
        <v>0</v>
      </c>
      <c r="L49" s="44">
        <f>SUMIFS(면!F:F, 면!C:C, D49, 면!D:D, "floor") + SUMIFS(면!F:F, 면!H:H, D49, 면!D:D, "ceiling")</f>
        <v>0</v>
      </c>
    </row>
    <row r="50" spans="2:12" ht="17.100000000000001" customHeight="1">
      <c r="B50" s="6"/>
      <c r="C50" s="6"/>
      <c r="D50" s="6"/>
      <c r="E50" s="6"/>
      <c r="F50" s="6"/>
      <c r="G50" s="35"/>
      <c r="H50" s="42" t="str" cm="1">
        <f t="array" ref="H50">IF($D50="","",IFERROR(_xlfn.LET(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_xlpm.matched,_xlfn._xlws.FILTER(_xlpm.types,(_xlpm.rooms=$D50)*ISNUMBER(MATCH(_xlpm.types,_xlpm.valid,0))),
_xlpm.uniqueTypes,_xlfn.UNIQUE(_xlpm.matched),
_xlpm.nums,_xlfn.MAP(_xlpm.uniqueTypes,_xlfn.LAMBDA(_xlpm.t,SUM(_xlfn._xlws.FILTER(_xlpm.qty,(_xlpm.rooms=$D50)*(_xlpm.types=_xlpm.t))))),
_xlfn.TEXTJOIN(", ",TRUE,
IF(
ISNUMBER(MATCH(_xlpm.uniqueTypes,{"바닥난방","전기바닥난방"},0)),
_xlpm.uniqueTypes,
_xlpm.uniqueTypes&amp;"("&amp;_xlpm.nums&amp;")"
))
),"-"))</f>
        <v/>
      </c>
      <c r="I50" s="42" t="str" cm="1">
        <f t="array" ref="I50">IF($D50="","",IFERROR(_xlfn.LET(_xlpm.types,공급설비!$C$3:$C$102,_xlpm.qty,공급설비!$G$3:$G$102,_xlpm.rooms,공급설비!$I$3:$I$102,_xlpm.valid,{"패키지에어컨","공조기","팬코일유닛"},_xlpm.matched,_xlfn._xlws.FILTER(_xlpm.types,(_xlpm.rooms=$D50)*ISNUMBER(MATCH(_xlpm.types,_xlpm.valid,0))),_xlpm.uniqueTypes,_xlfn.UNIQUE(_xlpm.matched),_xlfn.TEXTJOIN(", ",TRUE,_xlpm.uniqueTypes&amp;"("&amp;_xlfn.MAP(_xlpm.uniqueTypes,_xlfn.LAMBDA(_xlpm.t,SUM(_xlfn._xlws.FILTER(_xlpm.qty,(_xlpm.rooms=$D50)*(_xlpm.types=_xlpm.t)))))&amp;")")),"-"))</f>
        <v/>
      </c>
      <c r="J50" s="42" t="str" cm="1">
        <f t="array" ref="J50">IF($D50="","",IFERROR(_xlfn.TEXTJOIN(", ",TRUE,_xlfn._xlws.FILTER(환기설비!$B$3:$B$1006&amp;IF(환기설비!$F$3:$F$1006&lt;&gt;"","("&amp;환기설비!$F$3:$F$1006&amp;")",""),환기설비!$G$3:$G$1006=$D50)),""))</f>
        <v/>
      </c>
      <c r="K50" s="43">
        <f>COUNTIF(면!C:C,D50)+COUNTIF(면!H:H,D50)</f>
        <v>0</v>
      </c>
      <c r="L50" s="44">
        <f>SUMIFS(면!F:F, 면!C:C, D50, 면!D:D, "floor") + SUMIFS(면!F:F, 면!H:H, D50, 면!D:D, "ceiling")</f>
        <v>0</v>
      </c>
    </row>
    <row r="51" spans="2:12" ht="17.100000000000001" customHeight="1">
      <c r="B51" s="6"/>
      <c r="C51" s="6"/>
      <c r="D51" s="6"/>
      <c r="E51" s="6"/>
      <c r="F51" s="6"/>
      <c r="G51" s="35"/>
      <c r="H51" s="42" t="str" cm="1">
        <f t="array" ref="H51">IF($D51="","",IFERROR(_xlfn.LET(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_xlpm.matched,_xlfn._xlws.FILTER(_xlpm.types,(_xlpm.rooms=$D51)*ISNUMBER(MATCH(_xlpm.types,_xlpm.valid,0))),
_xlpm.uniqueTypes,_xlfn.UNIQUE(_xlpm.matched),
_xlpm.nums,_xlfn.MAP(_xlpm.uniqueTypes,_xlfn.LAMBDA(_xlpm.t,SUM(_xlfn._xlws.FILTER(_xlpm.qty,(_xlpm.rooms=$D51)*(_xlpm.types=_xlpm.t))))),
_xlfn.TEXTJOIN(", ",TRUE,
IF(
ISNUMBER(MATCH(_xlpm.uniqueTypes,{"바닥난방","전기바닥난방"},0)),
_xlpm.uniqueTypes,
_xlpm.uniqueTypes&amp;"("&amp;_xlpm.nums&amp;")"
))
),"-"))</f>
        <v/>
      </c>
      <c r="I51" s="42" t="str" cm="1">
        <f t="array" ref="I51">IF($D51="","",IFERROR(_xlfn.LET(_xlpm.types,공급설비!$C$3:$C$102,_xlpm.qty,공급설비!$G$3:$G$102,_xlpm.rooms,공급설비!$I$3:$I$102,_xlpm.valid,{"패키지에어컨","공조기","팬코일유닛"},_xlpm.matched,_xlfn._xlws.FILTER(_xlpm.types,(_xlpm.rooms=$D51)*ISNUMBER(MATCH(_xlpm.types,_xlpm.valid,0))),_xlpm.uniqueTypes,_xlfn.UNIQUE(_xlpm.matched),_xlfn.TEXTJOIN(", ",TRUE,_xlpm.uniqueTypes&amp;"("&amp;_xlfn.MAP(_xlpm.uniqueTypes,_xlfn.LAMBDA(_xlpm.t,SUM(_xlfn._xlws.FILTER(_xlpm.qty,(_xlpm.rooms=$D51)*(_xlpm.types=_xlpm.t)))))&amp;")")),"-"))</f>
        <v/>
      </c>
      <c r="J51" s="42" t="str" cm="1">
        <f t="array" ref="J51">IF($D51="","",IFERROR(_xlfn.TEXTJOIN(", ",TRUE,_xlfn._xlws.FILTER(환기설비!$B$3:$B$1006&amp;IF(환기설비!$F$3:$F$1006&lt;&gt;"","("&amp;환기설비!$F$3:$F$1006&amp;")",""),환기설비!$G$3:$G$1006=$D51)),""))</f>
        <v/>
      </c>
      <c r="K51" s="43">
        <f>COUNTIF(면!C:C,D51)+COUNTIF(면!H:H,D51)</f>
        <v>0</v>
      </c>
      <c r="L51" s="44">
        <f>SUMIFS(면!F:F, 면!C:C, D51, 면!D:D, "floor") + SUMIFS(면!F:F, 면!H:H, D51, 면!D:D, "ceiling")</f>
        <v>0</v>
      </c>
    </row>
    <row r="52" spans="2:12" ht="17.100000000000001" customHeight="1">
      <c r="B52" s="6"/>
      <c r="C52" s="6"/>
      <c r="D52" s="6"/>
      <c r="E52" s="6"/>
      <c r="F52" s="6"/>
      <c r="G52" s="35"/>
      <c r="H52" s="42" t="str" cm="1">
        <f t="array" ref="H52">IF($D52="","",IFERROR(_xlfn.LET(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_xlpm.matched,_xlfn._xlws.FILTER(_xlpm.types,(_xlpm.rooms=$D52)*ISNUMBER(MATCH(_xlpm.types,_xlpm.valid,0))),
_xlpm.uniqueTypes,_xlfn.UNIQUE(_xlpm.matched),
_xlpm.nums,_xlfn.MAP(_xlpm.uniqueTypes,_xlfn.LAMBDA(_xlpm.t,SUM(_xlfn._xlws.FILTER(_xlpm.qty,(_xlpm.rooms=$D52)*(_xlpm.types=_xlpm.t))))),
_xlfn.TEXTJOIN(", ",TRUE,
IF(
ISNUMBER(MATCH(_xlpm.uniqueTypes,{"바닥난방","전기바닥난방"},0)),
_xlpm.uniqueTypes,
_xlpm.uniqueTypes&amp;"("&amp;_xlpm.nums&amp;")"
))
),"-"))</f>
        <v/>
      </c>
      <c r="I52" s="42" t="str" cm="1">
        <f t="array" ref="I52">IF($D52="","",IFERROR(_xlfn.LET(_xlpm.types,공급설비!$C$3:$C$102,_xlpm.qty,공급설비!$G$3:$G$102,_xlpm.rooms,공급설비!$I$3:$I$102,_xlpm.valid,{"패키지에어컨","공조기","팬코일유닛"},_xlpm.matched,_xlfn._xlws.FILTER(_xlpm.types,(_xlpm.rooms=$D52)*ISNUMBER(MATCH(_xlpm.types,_xlpm.valid,0))),_xlpm.uniqueTypes,_xlfn.UNIQUE(_xlpm.matched),_xlfn.TEXTJOIN(", ",TRUE,_xlpm.uniqueTypes&amp;"("&amp;_xlfn.MAP(_xlpm.uniqueTypes,_xlfn.LAMBDA(_xlpm.t,SUM(_xlfn._xlws.FILTER(_xlpm.qty,(_xlpm.rooms=$D52)*(_xlpm.types=_xlpm.t)))))&amp;")")),"-"))</f>
        <v/>
      </c>
      <c r="J52" s="42" t="str" cm="1">
        <f t="array" ref="J52">IF($D52="","",IFERROR(_xlfn.TEXTJOIN(", ",TRUE,_xlfn._xlws.FILTER(환기설비!$B$3:$B$1006&amp;IF(환기설비!$F$3:$F$1006&lt;&gt;"","("&amp;환기설비!$F$3:$F$1006&amp;")",""),환기설비!$G$3:$G$1006=$D52)),""))</f>
        <v/>
      </c>
      <c r="K52" s="43">
        <f>COUNTIF(면!C:C,D52)+COUNTIF(면!H:H,D52)</f>
        <v>0</v>
      </c>
      <c r="L52" s="44">
        <f>SUMIFS(면!F:F, 면!C:C, D52, 면!D:D, "floor") + SUMIFS(면!F:F, 면!H:H, D52, 면!D:D, "ceiling")</f>
        <v>0</v>
      </c>
    </row>
    <row r="53" spans="2:12" ht="17.100000000000001" customHeight="1">
      <c r="B53" s="6"/>
      <c r="C53" s="6"/>
      <c r="D53" s="6"/>
      <c r="E53" s="6"/>
      <c r="F53" s="6"/>
      <c r="G53" s="35"/>
      <c r="H53" s="42" t="str" cm="1">
        <f t="array" ref="H53">IF($D53="","",IFERROR(_xlfn.LET(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_xlpm.matched,_xlfn._xlws.FILTER(_xlpm.types,(_xlpm.rooms=$D53)*ISNUMBER(MATCH(_xlpm.types,_xlpm.valid,0))),
_xlpm.uniqueTypes,_xlfn.UNIQUE(_xlpm.matched),
_xlpm.nums,_xlfn.MAP(_xlpm.uniqueTypes,_xlfn.LAMBDA(_xlpm.t,SUM(_xlfn._xlws.FILTER(_xlpm.qty,(_xlpm.rooms=$D53)*(_xlpm.types=_xlpm.t))))),
_xlfn.TEXTJOIN(", ",TRUE,
IF(
ISNUMBER(MATCH(_xlpm.uniqueTypes,{"바닥난방","전기바닥난방"},0)),
_xlpm.uniqueTypes,
_xlpm.uniqueTypes&amp;"("&amp;_xlpm.nums&amp;")"
))
),"-"))</f>
        <v/>
      </c>
      <c r="I53" s="42" t="str" cm="1">
        <f t="array" ref="I53">IF($D53="","",IFERROR(_xlfn.LET(_xlpm.types,공급설비!$C$3:$C$102,_xlpm.qty,공급설비!$G$3:$G$102,_xlpm.rooms,공급설비!$I$3:$I$102,_xlpm.valid,{"패키지에어컨","공조기","팬코일유닛"},_xlpm.matched,_xlfn._xlws.FILTER(_xlpm.types,(_xlpm.rooms=$D53)*ISNUMBER(MATCH(_xlpm.types,_xlpm.valid,0))),_xlpm.uniqueTypes,_xlfn.UNIQUE(_xlpm.matched),_xlfn.TEXTJOIN(", ",TRUE,_xlpm.uniqueTypes&amp;"("&amp;_xlfn.MAP(_xlpm.uniqueTypes,_xlfn.LAMBDA(_xlpm.t,SUM(_xlfn._xlws.FILTER(_xlpm.qty,(_xlpm.rooms=$D53)*(_xlpm.types=_xlpm.t)))))&amp;")")),"-"))</f>
        <v/>
      </c>
      <c r="J53" s="42" t="str" cm="1">
        <f t="array" ref="J53">IF($D53="","",IFERROR(_xlfn.TEXTJOIN(", ",TRUE,_xlfn._xlws.FILTER(환기설비!$B$3:$B$1006&amp;IF(환기설비!$F$3:$F$1006&lt;&gt;"","("&amp;환기설비!$F$3:$F$1006&amp;")",""),환기설비!$G$3:$G$1006=$D53)),""))</f>
        <v/>
      </c>
      <c r="K53" s="43">
        <f>COUNTIF(면!C:C,D53)+COUNTIF(면!H:H,D53)</f>
        <v>0</v>
      </c>
      <c r="L53" s="44">
        <f>SUMIFS(면!F:F, 면!C:C, D53, 면!D:D, "floor") + SUMIFS(면!F:F, 면!H:H, D53, 면!D:D, "ceiling")</f>
        <v>0</v>
      </c>
    </row>
    <row r="54" spans="2:12" ht="17.100000000000001" customHeight="1">
      <c r="B54" s="6"/>
      <c r="C54" s="6"/>
      <c r="D54" s="6"/>
      <c r="E54" s="6"/>
      <c r="F54" s="6"/>
      <c r="G54" s="35"/>
      <c r="H54" s="42" t="str" cm="1">
        <f t="array" ref="H54">IF($D54="","",IFERROR(_xlfn.LET(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_xlpm.matched,_xlfn._xlws.FILTER(_xlpm.types,(_xlpm.rooms=$D54)*ISNUMBER(MATCH(_xlpm.types,_xlpm.valid,0))),
_xlpm.uniqueTypes,_xlfn.UNIQUE(_xlpm.matched),
_xlpm.nums,_xlfn.MAP(_xlpm.uniqueTypes,_xlfn.LAMBDA(_xlpm.t,SUM(_xlfn._xlws.FILTER(_xlpm.qty,(_xlpm.rooms=$D54)*(_xlpm.types=_xlpm.t))))),
_xlfn.TEXTJOIN(", ",TRUE,
IF(
ISNUMBER(MATCH(_xlpm.uniqueTypes,{"바닥난방","전기바닥난방"},0)),
_xlpm.uniqueTypes,
_xlpm.uniqueTypes&amp;"("&amp;_xlpm.nums&amp;")"
))
),"-"))</f>
        <v/>
      </c>
      <c r="I54" s="42" t="str" cm="1">
        <f t="array" ref="I54">IF($D54="","",IFERROR(_xlfn.LET(_xlpm.types,공급설비!$C$3:$C$102,_xlpm.qty,공급설비!$G$3:$G$102,_xlpm.rooms,공급설비!$I$3:$I$102,_xlpm.valid,{"패키지에어컨","공조기","팬코일유닛"},_xlpm.matched,_xlfn._xlws.FILTER(_xlpm.types,(_xlpm.rooms=$D54)*ISNUMBER(MATCH(_xlpm.types,_xlpm.valid,0))),_xlpm.uniqueTypes,_xlfn.UNIQUE(_xlpm.matched),_xlfn.TEXTJOIN(", ",TRUE,_xlpm.uniqueTypes&amp;"("&amp;_xlfn.MAP(_xlpm.uniqueTypes,_xlfn.LAMBDA(_xlpm.t,SUM(_xlfn._xlws.FILTER(_xlpm.qty,(_xlpm.rooms=$D54)*(_xlpm.types=_xlpm.t)))))&amp;")")),"-"))</f>
        <v/>
      </c>
      <c r="J54" s="42" t="str" cm="1">
        <f t="array" ref="J54">IF($D54="","",IFERROR(_xlfn.TEXTJOIN(", ",TRUE,_xlfn._xlws.FILTER(환기설비!$B$3:$B$1006&amp;IF(환기설비!$F$3:$F$1006&lt;&gt;"","("&amp;환기설비!$F$3:$F$1006&amp;")",""),환기설비!$G$3:$G$1006=$D54)),""))</f>
        <v/>
      </c>
      <c r="K54" s="43">
        <f>COUNTIF(면!C:C,D54)+COUNTIF(면!H:H,D54)</f>
        <v>0</v>
      </c>
      <c r="L54" s="44">
        <f>SUMIFS(면!F:F, 면!C:C, D54, 면!D:D, "floor") + SUMIFS(면!F:F, 면!H:H, D54, 면!D:D, "ceiling")</f>
        <v>0</v>
      </c>
    </row>
    <row r="55" spans="2:12" ht="17.100000000000001" customHeight="1">
      <c r="B55" s="6"/>
      <c r="C55" s="6"/>
      <c r="D55" s="6"/>
      <c r="E55" s="6"/>
      <c r="F55" s="6"/>
      <c r="G55" s="35"/>
      <c r="H55" s="42" t="str" cm="1">
        <f t="array" ref="H55">IF($D55="","",IFERROR(_xlfn.LET(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_xlpm.matched,_xlfn._xlws.FILTER(_xlpm.types,(_xlpm.rooms=$D55)*ISNUMBER(MATCH(_xlpm.types,_xlpm.valid,0))),
_xlpm.uniqueTypes,_xlfn.UNIQUE(_xlpm.matched),
_xlpm.nums,_xlfn.MAP(_xlpm.uniqueTypes,_xlfn.LAMBDA(_xlpm.t,SUM(_xlfn._xlws.FILTER(_xlpm.qty,(_xlpm.rooms=$D55)*(_xlpm.types=_xlpm.t))))),
_xlfn.TEXTJOIN(", ",TRUE,
IF(
ISNUMBER(MATCH(_xlpm.uniqueTypes,{"바닥난방","전기바닥난방"},0)),
_xlpm.uniqueTypes,
_xlpm.uniqueTypes&amp;"("&amp;_xlpm.nums&amp;")"
))
),"-"))</f>
        <v/>
      </c>
      <c r="I55" s="42" t="str" cm="1">
        <f t="array" ref="I55">IF($D55="","",IFERROR(_xlfn.LET(_xlpm.types,공급설비!$C$3:$C$102,_xlpm.qty,공급설비!$G$3:$G$102,_xlpm.rooms,공급설비!$I$3:$I$102,_xlpm.valid,{"패키지에어컨","공조기","팬코일유닛"},_xlpm.matched,_xlfn._xlws.FILTER(_xlpm.types,(_xlpm.rooms=$D55)*ISNUMBER(MATCH(_xlpm.types,_xlpm.valid,0))),_xlpm.uniqueTypes,_xlfn.UNIQUE(_xlpm.matched),_xlfn.TEXTJOIN(", ",TRUE,_xlpm.uniqueTypes&amp;"("&amp;_xlfn.MAP(_xlpm.uniqueTypes,_xlfn.LAMBDA(_xlpm.t,SUM(_xlfn._xlws.FILTER(_xlpm.qty,(_xlpm.rooms=$D55)*(_xlpm.types=_xlpm.t)))))&amp;")")),"-"))</f>
        <v/>
      </c>
      <c r="J55" s="42" t="str" cm="1">
        <f t="array" ref="J55">IF($D55="","",IFERROR(_xlfn.TEXTJOIN(", ",TRUE,_xlfn._xlws.FILTER(환기설비!$B$3:$B$1006&amp;IF(환기설비!$F$3:$F$1006&lt;&gt;"","("&amp;환기설비!$F$3:$F$1006&amp;")",""),환기설비!$G$3:$G$1006=$D55)),""))</f>
        <v/>
      </c>
      <c r="K55" s="43">
        <f>COUNTIF(면!C:C,D55)+COUNTIF(면!H:H,D55)</f>
        <v>0</v>
      </c>
      <c r="L55" s="44">
        <f>SUMIFS(면!F:F, 면!C:C, D55, 면!D:D, "floor") + SUMIFS(면!F:F, 면!H:H, D55, 면!D:D, "ceiling")</f>
        <v>0</v>
      </c>
    </row>
    <row r="56" spans="2:12" ht="17.100000000000001" customHeight="1">
      <c r="B56" s="6"/>
      <c r="C56" s="6"/>
      <c r="D56" s="6"/>
      <c r="E56" s="6"/>
      <c r="F56" s="6"/>
      <c r="G56" s="35"/>
      <c r="H56" s="42" t="str" cm="1">
        <f t="array" ref="H56">IF($D56="","",IFERROR(_xlfn.LET(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_xlpm.matched,_xlfn._xlws.FILTER(_xlpm.types,(_xlpm.rooms=$D56)*ISNUMBER(MATCH(_xlpm.types,_xlpm.valid,0))),
_xlpm.uniqueTypes,_xlfn.UNIQUE(_xlpm.matched),
_xlpm.nums,_xlfn.MAP(_xlpm.uniqueTypes,_xlfn.LAMBDA(_xlpm.t,SUM(_xlfn._xlws.FILTER(_xlpm.qty,(_xlpm.rooms=$D56)*(_xlpm.types=_xlpm.t))))),
_xlfn.TEXTJOIN(", ",TRUE,
IF(
ISNUMBER(MATCH(_xlpm.uniqueTypes,{"바닥난방","전기바닥난방"},0)),
_xlpm.uniqueTypes,
_xlpm.uniqueTypes&amp;"("&amp;_xlpm.nums&amp;")"
))
),"-"))</f>
        <v/>
      </c>
      <c r="I56" s="42" t="str" cm="1">
        <f t="array" ref="I56">IF($D56="","",IFERROR(_xlfn.LET(_xlpm.types,공급설비!$C$3:$C$102,_xlpm.qty,공급설비!$G$3:$G$102,_xlpm.rooms,공급설비!$I$3:$I$102,_xlpm.valid,{"패키지에어컨","공조기","팬코일유닛"},_xlpm.matched,_xlfn._xlws.FILTER(_xlpm.types,(_xlpm.rooms=$D56)*ISNUMBER(MATCH(_xlpm.types,_xlpm.valid,0))),_xlpm.uniqueTypes,_xlfn.UNIQUE(_xlpm.matched),_xlfn.TEXTJOIN(", ",TRUE,_xlpm.uniqueTypes&amp;"("&amp;_xlfn.MAP(_xlpm.uniqueTypes,_xlfn.LAMBDA(_xlpm.t,SUM(_xlfn._xlws.FILTER(_xlpm.qty,(_xlpm.rooms=$D56)*(_xlpm.types=_xlpm.t)))))&amp;")")),"-"))</f>
        <v/>
      </c>
      <c r="J56" s="42" t="str" cm="1">
        <f t="array" ref="J56">IF($D56="","",IFERROR(_xlfn.TEXTJOIN(", ",TRUE,_xlfn._xlws.FILTER(환기설비!$B$3:$B$1006&amp;IF(환기설비!$F$3:$F$1006&lt;&gt;"","("&amp;환기설비!$F$3:$F$1006&amp;")",""),환기설비!$G$3:$G$1006=$D56)),""))</f>
        <v/>
      </c>
      <c r="K56" s="43">
        <f>COUNTIF(면!C:C,D56)+COUNTIF(면!H:H,D56)</f>
        <v>0</v>
      </c>
      <c r="L56" s="44">
        <f>SUMIFS(면!F:F, 면!C:C, D56, 면!D:D, "floor") + SUMIFS(면!F:F, 면!H:H, D56, 면!D:D, "ceiling")</f>
        <v>0</v>
      </c>
    </row>
    <row r="57" spans="2:12" ht="17.100000000000001" customHeight="1">
      <c r="B57" s="6"/>
      <c r="C57" s="6"/>
      <c r="D57" s="6"/>
      <c r="E57" s="6"/>
      <c r="F57" s="6"/>
      <c r="G57" s="35"/>
      <c r="H57" s="42" t="str" cm="1">
        <f t="array" ref="H57">IF($D57="","",IFERROR(_xlfn.LET(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_xlpm.matched,_xlfn._xlws.FILTER(_xlpm.types,(_xlpm.rooms=$D57)*ISNUMBER(MATCH(_xlpm.types,_xlpm.valid,0))),
_xlpm.uniqueTypes,_xlfn.UNIQUE(_xlpm.matched),
_xlpm.nums,_xlfn.MAP(_xlpm.uniqueTypes,_xlfn.LAMBDA(_xlpm.t,SUM(_xlfn._xlws.FILTER(_xlpm.qty,(_xlpm.rooms=$D57)*(_xlpm.types=_xlpm.t))))),
_xlfn.TEXTJOIN(", ",TRUE,
IF(
ISNUMBER(MATCH(_xlpm.uniqueTypes,{"바닥난방","전기바닥난방"},0)),
_xlpm.uniqueTypes,
_xlpm.uniqueTypes&amp;"("&amp;_xlpm.nums&amp;")"
))
),"-"))</f>
        <v/>
      </c>
      <c r="I57" s="42" t="str" cm="1">
        <f t="array" ref="I57">IF($D57="","",IFERROR(_xlfn.LET(_xlpm.types,공급설비!$C$3:$C$102,_xlpm.qty,공급설비!$G$3:$G$102,_xlpm.rooms,공급설비!$I$3:$I$102,_xlpm.valid,{"패키지에어컨","공조기","팬코일유닛"},_xlpm.matched,_xlfn._xlws.FILTER(_xlpm.types,(_xlpm.rooms=$D57)*ISNUMBER(MATCH(_xlpm.types,_xlpm.valid,0))),_xlpm.uniqueTypes,_xlfn.UNIQUE(_xlpm.matched),_xlfn.TEXTJOIN(", ",TRUE,_xlpm.uniqueTypes&amp;"("&amp;_xlfn.MAP(_xlpm.uniqueTypes,_xlfn.LAMBDA(_xlpm.t,SUM(_xlfn._xlws.FILTER(_xlpm.qty,(_xlpm.rooms=$D57)*(_xlpm.types=_xlpm.t)))))&amp;")")),"-"))</f>
        <v/>
      </c>
      <c r="J57" s="42" t="str" cm="1">
        <f t="array" ref="J57">IF($D57="","",IFERROR(_xlfn.TEXTJOIN(", ",TRUE,_xlfn._xlws.FILTER(환기설비!$B$3:$B$1006&amp;IF(환기설비!$F$3:$F$1006&lt;&gt;"","("&amp;환기설비!$F$3:$F$1006&amp;")",""),환기설비!$G$3:$G$1006=$D57)),""))</f>
        <v/>
      </c>
      <c r="K57" s="43">
        <f>COUNTIF(면!C:C,D57)+COUNTIF(면!H:H,D57)</f>
        <v>0</v>
      </c>
      <c r="L57" s="44">
        <f>SUMIFS(면!F:F, 면!C:C, D57, 면!D:D, "floor") + SUMIFS(면!F:F, 면!H:H, D57, 면!D:D, "ceiling")</f>
        <v>0</v>
      </c>
    </row>
    <row r="58" spans="2:12" ht="17.100000000000001" customHeight="1">
      <c r="B58" s="6"/>
      <c r="C58" s="6"/>
      <c r="D58" s="6"/>
      <c r="E58" s="6"/>
      <c r="F58" s="6"/>
      <c r="G58" s="35"/>
      <c r="H58" s="42" t="str" cm="1">
        <f t="array" ref="H58">IF($D58="","",IFERROR(_xlfn.LET(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_xlpm.matched,_xlfn._xlws.FILTER(_xlpm.types,(_xlpm.rooms=$D58)*ISNUMBER(MATCH(_xlpm.types,_xlpm.valid,0))),
_xlpm.uniqueTypes,_xlfn.UNIQUE(_xlpm.matched),
_xlpm.nums,_xlfn.MAP(_xlpm.uniqueTypes,_xlfn.LAMBDA(_xlpm.t,SUM(_xlfn._xlws.FILTER(_xlpm.qty,(_xlpm.rooms=$D58)*(_xlpm.types=_xlpm.t))))),
_xlfn.TEXTJOIN(", ",TRUE,
IF(
ISNUMBER(MATCH(_xlpm.uniqueTypes,{"바닥난방","전기바닥난방"},0)),
_xlpm.uniqueTypes,
_xlpm.uniqueTypes&amp;"("&amp;_xlpm.nums&amp;")"
))
),"-"))</f>
        <v/>
      </c>
      <c r="I58" s="42" t="str" cm="1">
        <f t="array" ref="I58">IF($D58="","",IFERROR(_xlfn.LET(_xlpm.types,공급설비!$C$3:$C$102,_xlpm.qty,공급설비!$G$3:$G$102,_xlpm.rooms,공급설비!$I$3:$I$102,_xlpm.valid,{"패키지에어컨","공조기","팬코일유닛"},_xlpm.matched,_xlfn._xlws.FILTER(_xlpm.types,(_xlpm.rooms=$D58)*ISNUMBER(MATCH(_xlpm.types,_xlpm.valid,0))),_xlpm.uniqueTypes,_xlfn.UNIQUE(_xlpm.matched),_xlfn.TEXTJOIN(", ",TRUE,_xlpm.uniqueTypes&amp;"("&amp;_xlfn.MAP(_xlpm.uniqueTypes,_xlfn.LAMBDA(_xlpm.t,SUM(_xlfn._xlws.FILTER(_xlpm.qty,(_xlpm.rooms=$D58)*(_xlpm.types=_xlpm.t)))))&amp;")")),"-"))</f>
        <v/>
      </c>
      <c r="J58" s="42" t="str" cm="1">
        <f t="array" ref="J58">IF($D58="","",IFERROR(_xlfn.TEXTJOIN(", ",TRUE,_xlfn._xlws.FILTER(환기설비!$B$3:$B$1006&amp;IF(환기설비!$F$3:$F$1006&lt;&gt;"","("&amp;환기설비!$F$3:$F$1006&amp;")",""),환기설비!$G$3:$G$1006=$D58)),""))</f>
        <v/>
      </c>
      <c r="K58" s="43">
        <f>COUNTIF(면!C:C,D58)+COUNTIF(면!H:H,D58)</f>
        <v>0</v>
      </c>
      <c r="L58" s="44">
        <f>SUMIFS(면!F:F, 면!C:C, D58, 면!D:D, "floor") + SUMIFS(면!F:F, 면!H:H, D58, 면!D:D, "ceiling")</f>
        <v>0</v>
      </c>
    </row>
    <row r="59" spans="2:12" ht="17.100000000000001" customHeight="1">
      <c r="B59" s="6"/>
      <c r="C59" s="6"/>
      <c r="D59" s="6"/>
      <c r="E59" s="6"/>
      <c r="F59" s="6"/>
      <c r="G59" s="35"/>
      <c r="H59" s="42" t="str" cm="1">
        <f t="array" ref="H59">IF($D59="","",IFERROR(_xlfn.LET(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_xlpm.matched,_xlfn._xlws.FILTER(_xlpm.types,(_xlpm.rooms=$D59)*ISNUMBER(MATCH(_xlpm.types,_xlpm.valid,0))),
_xlpm.uniqueTypes,_xlfn.UNIQUE(_xlpm.matched),
_xlpm.nums,_xlfn.MAP(_xlpm.uniqueTypes,_xlfn.LAMBDA(_xlpm.t,SUM(_xlfn._xlws.FILTER(_xlpm.qty,(_xlpm.rooms=$D59)*(_xlpm.types=_xlpm.t))))),
_xlfn.TEXTJOIN(", ",TRUE,
IF(
ISNUMBER(MATCH(_xlpm.uniqueTypes,{"바닥난방","전기바닥난방"},0)),
_xlpm.uniqueTypes,
_xlpm.uniqueTypes&amp;"("&amp;_xlpm.nums&amp;")"
))
),"-"))</f>
        <v/>
      </c>
      <c r="I59" s="42" t="str" cm="1">
        <f t="array" ref="I59">IF($D59="","",IFERROR(_xlfn.LET(_xlpm.types,공급설비!$C$3:$C$102,_xlpm.qty,공급설비!$G$3:$G$102,_xlpm.rooms,공급설비!$I$3:$I$102,_xlpm.valid,{"패키지에어컨","공조기","팬코일유닛"},_xlpm.matched,_xlfn._xlws.FILTER(_xlpm.types,(_xlpm.rooms=$D59)*ISNUMBER(MATCH(_xlpm.types,_xlpm.valid,0))),_xlpm.uniqueTypes,_xlfn.UNIQUE(_xlpm.matched),_xlfn.TEXTJOIN(", ",TRUE,_xlpm.uniqueTypes&amp;"("&amp;_xlfn.MAP(_xlpm.uniqueTypes,_xlfn.LAMBDA(_xlpm.t,SUM(_xlfn._xlws.FILTER(_xlpm.qty,(_xlpm.rooms=$D59)*(_xlpm.types=_xlpm.t)))))&amp;")")),"-"))</f>
        <v/>
      </c>
      <c r="J59" s="42" t="str" cm="1">
        <f t="array" ref="J59">IF($D59="","",IFERROR(_xlfn.TEXTJOIN(", ",TRUE,_xlfn._xlws.FILTER(환기설비!$B$3:$B$1006&amp;IF(환기설비!$F$3:$F$1006&lt;&gt;"","("&amp;환기설비!$F$3:$F$1006&amp;")",""),환기설비!$G$3:$G$1006=$D59)),""))</f>
        <v/>
      </c>
      <c r="K59" s="43">
        <f>COUNTIF(면!C:C,D59)+COUNTIF(면!H:H,D59)</f>
        <v>0</v>
      </c>
      <c r="L59" s="44">
        <f>SUMIFS(면!F:F, 면!C:C, D59, 면!D:D, "floor") + SUMIFS(면!F:F, 면!H:H, D59, 면!D:D, "ceiling")</f>
        <v>0</v>
      </c>
    </row>
    <row r="60" spans="2:12" ht="17.100000000000001" customHeight="1">
      <c r="B60" s="6"/>
      <c r="C60" s="6"/>
      <c r="D60" s="6"/>
      <c r="E60" s="6"/>
      <c r="F60" s="6"/>
      <c r="G60" s="35"/>
      <c r="H60" s="42" t="str" cm="1">
        <f t="array" ref="H60">IF($D60="","",IFERROR(_xlfn.LET(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_xlpm.matched,_xlfn._xlws.FILTER(_xlpm.types,(_xlpm.rooms=$D60)*ISNUMBER(MATCH(_xlpm.types,_xlpm.valid,0))),
_xlpm.uniqueTypes,_xlfn.UNIQUE(_xlpm.matched),
_xlpm.nums,_xlfn.MAP(_xlpm.uniqueTypes,_xlfn.LAMBDA(_xlpm.t,SUM(_xlfn._xlws.FILTER(_xlpm.qty,(_xlpm.rooms=$D60)*(_xlpm.types=_xlpm.t))))),
_xlfn.TEXTJOIN(", ",TRUE,
IF(
ISNUMBER(MATCH(_xlpm.uniqueTypes,{"바닥난방","전기바닥난방"},0)),
_xlpm.uniqueTypes,
_xlpm.uniqueTypes&amp;"("&amp;_xlpm.nums&amp;")"
))
),"-"))</f>
        <v/>
      </c>
      <c r="I60" s="42" t="str" cm="1">
        <f t="array" ref="I60">IF($D60="","",IFERROR(_xlfn.LET(_xlpm.types,공급설비!$C$3:$C$102,_xlpm.qty,공급설비!$G$3:$G$102,_xlpm.rooms,공급설비!$I$3:$I$102,_xlpm.valid,{"패키지에어컨","공조기","팬코일유닛"},_xlpm.matched,_xlfn._xlws.FILTER(_xlpm.types,(_xlpm.rooms=$D60)*ISNUMBER(MATCH(_xlpm.types,_xlpm.valid,0))),_xlpm.uniqueTypes,_xlfn.UNIQUE(_xlpm.matched),_xlfn.TEXTJOIN(", ",TRUE,_xlpm.uniqueTypes&amp;"("&amp;_xlfn.MAP(_xlpm.uniqueTypes,_xlfn.LAMBDA(_xlpm.t,SUM(_xlfn._xlws.FILTER(_xlpm.qty,(_xlpm.rooms=$D60)*(_xlpm.types=_xlpm.t)))))&amp;")")),"-"))</f>
        <v/>
      </c>
      <c r="J60" s="42" t="str" cm="1">
        <f t="array" ref="J60">IF($D60="","",IFERROR(_xlfn.TEXTJOIN(", ",TRUE,_xlfn._xlws.FILTER(환기설비!$B$3:$B$1006&amp;IF(환기설비!$F$3:$F$1006&lt;&gt;"","("&amp;환기설비!$F$3:$F$1006&amp;")",""),환기설비!$G$3:$G$1006=$D60)),""))</f>
        <v/>
      </c>
      <c r="K60" s="43">
        <f>COUNTIF(면!C:C,D60)+COUNTIF(면!H:H,D60)</f>
        <v>0</v>
      </c>
      <c r="L60" s="44">
        <f>SUMIFS(면!F:F, 면!C:C, D60, 면!D:D, "floor") + SUMIFS(면!F:F, 면!H:H, D60, 면!D:D, "ceiling")</f>
        <v>0</v>
      </c>
    </row>
    <row r="61" spans="2:12" ht="17.100000000000001" customHeight="1">
      <c r="B61" s="6"/>
      <c r="C61" s="6"/>
      <c r="D61" s="6"/>
      <c r="E61" s="6"/>
      <c r="F61" s="6"/>
      <c r="G61" s="35"/>
      <c r="H61" s="42" t="str" cm="1">
        <f t="array" ref="H61">IF($D61="","",IFERROR(_xlfn.LET(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_xlpm.matched,_xlfn._xlws.FILTER(_xlpm.types,(_xlpm.rooms=$D61)*ISNUMBER(MATCH(_xlpm.types,_xlpm.valid,0))),
_xlpm.uniqueTypes,_xlfn.UNIQUE(_xlpm.matched),
_xlpm.nums,_xlfn.MAP(_xlpm.uniqueTypes,_xlfn.LAMBDA(_xlpm.t,SUM(_xlfn._xlws.FILTER(_xlpm.qty,(_xlpm.rooms=$D61)*(_xlpm.types=_xlpm.t))))),
_xlfn.TEXTJOIN(", ",TRUE,
IF(
ISNUMBER(MATCH(_xlpm.uniqueTypes,{"바닥난방","전기바닥난방"},0)),
_xlpm.uniqueTypes,
_xlpm.uniqueTypes&amp;"("&amp;_xlpm.nums&amp;")"
))
),"-"))</f>
        <v/>
      </c>
      <c r="I61" s="42" t="str" cm="1">
        <f t="array" ref="I61">IF($D61="","",IFERROR(_xlfn.LET(_xlpm.types,공급설비!$C$3:$C$102,_xlpm.qty,공급설비!$G$3:$G$102,_xlpm.rooms,공급설비!$I$3:$I$102,_xlpm.valid,{"패키지에어컨","공조기","팬코일유닛"},_xlpm.matched,_xlfn._xlws.FILTER(_xlpm.types,(_xlpm.rooms=$D61)*ISNUMBER(MATCH(_xlpm.types,_xlpm.valid,0))),_xlpm.uniqueTypes,_xlfn.UNIQUE(_xlpm.matched),_xlfn.TEXTJOIN(", ",TRUE,_xlpm.uniqueTypes&amp;"("&amp;_xlfn.MAP(_xlpm.uniqueTypes,_xlfn.LAMBDA(_xlpm.t,SUM(_xlfn._xlws.FILTER(_xlpm.qty,(_xlpm.rooms=$D61)*(_xlpm.types=_xlpm.t)))))&amp;")")),"-"))</f>
        <v/>
      </c>
      <c r="J61" s="42" t="str" cm="1">
        <f t="array" ref="J61">IF($D61="","",IFERROR(_xlfn.TEXTJOIN(", ",TRUE,_xlfn._xlws.FILTER(환기설비!$B$3:$B$1006&amp;IF(환기설비!$F$3:$F$1006&lt;&gt;"","("&amp;환기설비!$F$3:$F$1006&amp;")",""),환기설비!$G$3:$G$1006=$D61)),""))</f>
        <v/>
      </c>
      <c r="K61" s="43">
        <f>COUNTIF(면!C:C,D61)+COUNTIF(면!H:H,D61)</f>
        <v>0</v>
      </c>
      <c r="L61" s="44">
        <f>SUMIFS(면!F:F, 면!C:C, D61, 면!D:D, "floor") + SUMIFS(면!F:F, 면!H:H, D61, 면!D:D, "ceiling")</f>
        <v>0</v>
      </c>
    </row>
    <row r="62" spans="2:12" ht="17.100000000000001" customHeight="1">
      <c r="B62" s="6"/>
      <c r="C62" s="6"/>
      <c r="D62" s="6"/>
      <c r="E62" s="6"/>
      <c r="F62" s="6"/>
      <c r="G62" s="35"/>
      <c r="H62" s="42" t="str" cm="1">
        <f t="array" ref="H62">IF($D62="","",IFERROR(_xlfn.LET(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_xlpm.matched,_xlfn._xlws.FILTER(_xlpm.types,(_xlpm.rooms=$D62)*ISNUMBER(MATCH(_xlpm.types,_xlpm.valid,0))),
_xlpm.uniqueTypes,_xlfn.UNIQUE(_xlpm.matched),
_xlpm.nums,_xlfn.MAP(_xlpm.uniqueTypes,_xlfn.LAMBDA(_xlpm.t,SUM(_xlfn._xlws.FILTER(_xlpm.qty,(_xlpm.rooms=$D62)*(_xlpm.types=_xlpm.t))))),
_xlfn.TEXTJOIN(", ",TRUE,
IF(
ISNUMBER(MATCH(_xlpm.uniqueTypes,{"바닥난방","전기바닥난방"},0)),
_xlpm.uniqueTypes,
_xlpm.uniqueTypes&amp;"("&amp;_xlpm.nums&amp;")"
))
),"-"))</f>
        <v/>
      </c>
      <c r="I62" s="42" t="str" cm="1">
        <f t="array" ref="I62">IF($D62="","",IFERROR(_xlfn.LET(_xlpm.types,공급설비!$C$3:$C$102,_xlpm.qty,공급설비!$G$3:$G$102,_xlpm.rooms,공급설비!$I$3:$I$102,_xlpm.valid,{"패키지에어컨","공조기","팬코일유닛"},_xlpm.matched,_xlfn._xlws.FILTER(_xlpm.types,(_xlpm.rooms=$D62)*ISNUMBER(MATCH(_xlpm.types,_xlpm.valid,0))),_xlpm.uniqueTypes,_xlfn.UNIQUE(_xlpm.matched),_xlfn.TEXTJOIN(", ",TRUE,_xlpm.uniqueTypes&amp;"("&amp;_xlfn.MAP(_xlpm.uniqueTypes,_xlfn.LAMBDA(_xlpm.t,SUM(_xlfn._xlws.FILTER(_xlpm.qty,(_xlpm.rooms=$D62)*(_xlpm.types=_xlpm.t)))))&amp;")")),"-"))</f>
        <v/>
      </c>
      <c r="J62" s="42" t="str" cm="1">
        <f t="array" ref="J62">IF($D62="","",IFERROR(_xlfn.TEXTJOIN(", ",TRUE,_xlfn._xlws.FILTER(환기설비!$B$3:$B$1006&amp;IF(환기설비!$F$3:$F$1006&lt;&gt;"","("&amp;환기설비!$F$3:$F$1006&amp;")",""),환기설비!$G$3:$G$1006=$D62)),""))</f>
        <v/>
      </c>
      <c r="K62" s="43">
        <f>COUNTIF(면!C:C,D62)+COUNTIF(면!H:H,D62)</f>
        <v>0</v>
      </c>
      <c r="L62" s="44">
        <f>SUMIFS(면!F:F, 면!C:C, D62, 면!D:D, "floor") + SUMIFS(면!F:F, 면!H:H, D62, 면!D:D, "ceiling")</f>
        <v>0</v>
      </c>
    </row>
    <row r="63" spans="2:12" ht="17.100000000000001" customHeight="1">
      <c r="B63" s="6"/>
      <c r="C63" s="6"/>
      <c r="D63" s="6"/>
      <c r="E63" s="6"/>
      <c r="F63" s="6"/>
      <c r="G63" s="35"/>
      <c r="H63" s="42" t="str" cm="1">
        <f t="array" ref="H63">IF($D63="","",IFERROR(_xlfn.LET(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_xlpm.matched,_xlfn._xlws.FILTER(_xlpm.types,(_xlpm.rooms=$D63)*ISNUMBER(MATCH(_xlpm.types,_xlpm.valid,0))),
_xlpm.uniqueTypes,_xlfn.UNIQUE(_xlpm.matched),
_xlpm.nums,_xlfn.MAP(_xlpm.uniqueTypes,_xlfn.LAMBDA(_xlpm.t,SUM(_xlfn._xlws.FILTER(_xlpm.qty,(_xlpm.rooms=$D63)*(_xlpm.types=_xlpm.t))))),
_xlfn.TEXTJOIN(", ",TRUE,
IF(
ISNUMBER(MATCH(_xlpm.uniqueTypes,{"바닥난방","전기바닥난방"},0)),
_xlpm.uniqueTypes,
_xlpm.uniqueTypes&amp;"("&amp;_xlpm.nums&amp;")"
))
),"-"))</f>
        <v/>
      </c>
      <c r="I63" s="42" t="str" cm="1">
        <f t="array" ref="I63">IF($D63="","",IFERROR(_xlfn.LET(_xlpm.types,공급설비!$C$3:$C$102,_xlpm.qty,공급설비!$G$3:$G$102,_xlpm.rooms,공급설비!$I$3:$I$102,_xlpm.valid,{"패키지에어컨","공조기","팬코일유닛"},_xlpm.matched,_xlfn._xlws.FILTER(_xlpm.types,(_xlpm.rooms=$D63)*ISNUMBER(MATCH(_xlpm.types,_xlpm.valid,0))),_xlpm.uniqueTypes,_xlfn.UNIQUE(_xlpm.matched),_xlfn.TEXTJOIN(", ",TRUE,_xlpm.uniqueTypes&amp;"("&amp;_xlfn.MAP(_xlpm.uniqueTypes,_xlfn.LAMBDA(_xlpm.t,SUM(_xlfn._xlws.FILTER(_xlpm.qty,(_xlpm.rooms=$D63)*(_xlpm.types=_xlpm.t)))))&amp;")")),"-"))</f>
        <v/>
      </c>
      <c r="J63" s="42" t="str" cm="1">
        <f t="array" ref="J63">IF($D63="","",IFERROR(_xlfn.TEXTJOIN(", ",TRUE,_xlfn._xlws.FILTER(환기설비!$B$3:$B$1006&amp;IF(환기설비!$F$3:$F$1006&lt;&gt;"","("&amp;환기설비!$F$3:$F$1006&amp;")",""),환기설비!$G$3:$G$1006=$D63)),""))</f>
        <v/>
      </c>
      <c r="K63" s="43">
        <f>COUNTIF(면!C:C,D63)+COUNTIF(면!H:H,D63)</f>
        <v>0</v>
      </c>
      <c r="L63" s="44">
        <f>SUMIFS(면!F:F, 면!C:C, D63, 면!D:D, "floor") + SUMIFS(면!F:F, 면!H:H, D63, 면!D:D, "ceiling")</f>
        <v>0</v>
      </c>
    </row>
    <row r="64" spans="2:12" ht="17.100000000000001" customHeight="1">
      <c r="B64" s="6"/>
      <c r="C64" s="6"/>
      <c r="D64" s="6"/>
      <c r="E64" s="6"/>
      <c r="F64" s="6"/>
      <c r="G64" s="35"/>
      <c r="H64" s="42" t="str" cm="1">
        <f t="array" ref="H64">IF($D64="","",IFERROR(_xlfn.LET(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_xlpm.matched,_xlfn._xlws.FILTER(_xlpm.types,(_xlpm.rooms=$D64)*ISNUMBER(MATCH(_xlpm.types,_xlpm.valid,0))),
_xlpm.uniqueTypes,_xlfn.UNIQUE(_xlpm.matched),
_xlpm.nums,_xlfn.MAP(_xlpm.uniqueTypes,_xlfn.LAMBDA(_xlpm.t,SUM(_xlfn._xlws.FILTER(_xlpm.qty,(_xlpm.rooms=$D64)*(_xlpm.types=_xlpm.t))))),
_xlfn.TEXTJOIN(", ",TRUE,
IF(
ISNUMBER(MATCH(_xlpm.uniqueTypes,{"바닥난방","전기바닥난방"},0)),
_xlpm.uniqueTypes,
_xlpm.uniqueTypes&amp;"("&amp;_xlpm.nums&amp;")"
))
),"-"))</f>
        <v/>
      </c>
      <c r="I64" s="42" t="str" cm="1">
        <f t="array" ref="I64">IF($D64="","",IFERROR(_xlfn.LET(_xlpm.types,공급설비!$C$3:$C$102,_xlpm.qty,공급설비!$G$3:$G$102,_xlpm.rooms,공급설비!$I$3:$I$102,_xlpm.valid,{"패키지에어컨","공조기","팬코일유닛"},_xlpm.matched,_xlfn._xlws.FILTER(_xlpm.types,(_xlpm.rooms=$D64)*ISNUMBER(MATCH(_xlpm.types,_xlpm.valid,0))),_xlpm.uniqueTypes,_xlfn.UNIQUE(_xlpm.matched),_xlfn.TEXTJOIN(", ",TRUE,_xlpm.uniqueTypes&amp;"("&amp;_xlfn.MAP(_xlpm.uniqueTypes,_xlfn.LAMBDA(_xlpm.t,SUM(_xlfn._xlws.FILTER(_xlpm.qty,(_xlpm.rooms=$D64)*(_xlpm.types=_xlpm.t)))))&amp;")")),"-"))</f>
        <v/>
      </c>
      <c r="J64" s="42" t="str" cm="1">
        <f t="array" ref="J64">IF($D64="","",IFERROR(_xlfn.TEXTJOIN(", ",TRUE,_xlfn._xlws.FILTER(환기설비!$B$3:$B$1006&amp;IF(환기설비!$F$3:$F$1006&lt;&gt;"","("&amp;환기설비!$F$3:$F$1006&amp;")",""),환기설비!$G$3:$G$1006=$D64)),""))</f>
        <v/>
      </c>
      <c r="K64" s="43">
        <f>COUNTIF(면!C:C,D64)+COUNTIF(면!H:H,D64)</f>
        <v>0</v>
      </c>
      <c r="L64" s="44">
        <f>SUMIFS(면!F:F, 면!C:C, D64, 면!D:D, "floor") + SUMIFS(면!F:F, 면!H:H, D64, 면!D:D, "ceiling")</f>
        <v>0</v>
      </c>
    </row>
    <row r="65" spans="2:12" ht="17.100000000000001" customHeight="1">
      <c r="B65" s="6"/>
      <c r="C65" s="6"/>
      <c r="D65" s="6"/>
      <c r="E65" s="6"/>
      <c r="F65" s="6"/>
      <c r="G65" s="35"/>
      <c r="H65" s="42" t="str" cm="1">
        <f t="array" ref="H65">IF($D65="","",IFERROR(_xlfn.LET(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_xlpm.matched,_xlfn._xlws.FILTER(_xlpm.types,(_xlpm.rooms=$D65)*ISNUMBER(MATCH(_xlpm.types,_xlpm.valid,0))),
_xlpm.uniqueTypes,_xlfn.UNIQUE(_xlpm.matched),
_xlpm.nums,_xlfn.MAP(_xlpm.uniqueTypes,_xlfn.LAMBDA(_xlpm.t,SUM(_xlfn._xlws.FILTER(_xlpm.qty,(_xlpm.rooms=$D65)*(_xlpm.types=_xlpm.t))))),
_xlfn.TEXTJOIN(", ",TRUE,
IF(
ISNUMBER(MATCH(_xlpm.uniqueTypes,{"바닥난방","전기바닥난방"},0)),
_xlpm.uniqueTypes,
_xlpm.uniqueTypes&amp;"("&amp;_xlpm.nums&amp;")"
))
),"-"))</f>
        <v/>
      </c>
      <c r="I65" s="42" t="str" cm="1">
        <f t="array" ref="I65">IF($D65="","",IFERROR(_xlfn.LET(_xlpm.types,공급설비!$C$3:$C$102,_xlpm.qty,공급설비!$G$3:$G$102,_xlpm.rooms,공급설비!$I$3:$I$102,_xlpm.valid,{"패키지에어컨","공조기","팬코일유닛"},_xlpm.matched,_xlfn._xlws.FILTER(_xlpm.types,(_xlpm.rooms=$D65)*ISNUMBER(MATCH(_xlpm.types,_xlpm.valid,0))),_xlpm.uniqueTypes,_xlfn.UNIQUE(_xlpm.matched),_xlfn.TEXTJOIN(", ",TRUE,_xlpm.uniqueTypes&amp;"("&amp;_xlfn.MAP(_xlpm.uniqueTypes,_xlfn.LAMBDA(_xlpm.t,SUM(_xlfn._xlws.FILTER(_xlpm.qty,(_xlpm.rooms=$D65)*(_xlpm.types=_xlpm.t)))))&amp;")")),"-"))</f>
        <v/>
      </c>
      <c r="J65" s="42" t="str" cm="1">
        <f t="array" ref="J65">IF($D65="","",IFERROR(_xlfn.TEXTJOIN(", ",TRUE,_xlfn._xlws.FILTER(환기설비!$B$3:$B$1006&amp;IF(환기설비!$F$3:$F$1006&lt;&gt;"","("&amp;환기설비!$F$3:$F$1006&amp;")",""),환기설비!$G$3:$G$1006=$D65)),""))</f>
        <v/>
      </c>
      <c r="K65" s="43">
        <f>COUNTIF(면!C:C,D65)+COUNTIF(면!H:H,D65)</f>
        <v>0</v>
      </c>
      <c r="L65" s="44">
        <f>SUMIFS(면!F:F, 면!C:C, D65, 면!D:D, "floor") + SUMIFS(면!F:F, 면!H:H, D65, 면!D:D, "ceiling")</f>
        <v>0</v>
      </c>
    </row>
    <row r="66" spans="2:12" ht="17.100000000000001" customHeight="1">
      <c r="B66" s="6"/>
      <c r="C66" s="6"/>
      <c r="D66" s="6"/>
      <c r="E66" s="6"/>
      <c r="F66" s="6"/>
      <c r="G66" s="35"/>
      <c r="H66" s="42" t="str" cm="1">
        <f t="array" ref="H66">IF($D66="","",IFERROR(_xlfn.LET(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_xlpm.matched,_xlfn._xlws.FILTER(_xlpm.types,(_xlpm.rooms=$D66)*ISNUMBER(MATCH(_xlpm.types,_xlpm.valid,0))),
_xlpm.uniqueTypes,_xlfn.UNIQUE(_xlpm.matched),
_xlpm.nums,_xlfn.MAP(_xlpm.uniqueTypes,_xlfn.LAMBDA(_xlpm.t,SUM(_xlfn._xlws.FILTER(_xlpm.qty,(_xlpm.rooms=$D66)*(_xlpm.types=_xlpm.t))))),
_xlfn.TEXTJOIN(", ",TRUE,
IF(
ISNUMBER(MATCH(_xlpm.uniqueTypes,{"바닥난방","전기바닥난방"},0)),
_xlpm.uniqueTypes,
_xlpm.uniqueTypes&amp;"("&amp;_xlpm.nums&amp;")"
))
),"-"))</f>
        <v/>
      </c>
      <c r="I66" s="42" t="str" cm="1">
        <f t="array" ref="I66">IF($D66="","",IFERROR(_xlfn.LET(_xlpm.types,공급설비!$C$3:$C$102,_xlpm.qty,공급설비!$G$3:$G$102,_xlpm.rooms,공급설비!$I$3:$I$102,_xlpm.valid,{"패키지에어컨","공조기","팬코일유닛"},_xlpm.matched,_xlfn._xlws.FILTER(_xlpm.types,(_xlpm.rooms=$D66)*ISNUMBER(MATCH(_xlpm.types,_xlpm.valid,0))),_xlpm.uniqueTypes,_xlfn.UNIQUE(_xlpm.matched),_xlfn.TEXTJOIN(", ",TRUE,_xlpm.uniqueTypes&amp;"("&amp;_xlfn.MAP(_xlpm.uniqueTypes,_xlfn.LAMBDA(_xlpm.t,SUM(_xlfn._xlws.FILTER(_xlpm.qty,(_xlpm.rooms=$D66)*(_xlpm.types=_xlpm.t)))))&amp;")")),"-"))</f>
        <v/>
      </c>
      <c r="J66" s="42" t="str" cm="1">
        <f t="array" ref="J66">IF($D66="","",IFERROR(_xlfn.TEXTJOIN(", ",TRUE,_xlfn._xlws.FILTER(환기설비!$B$3:$B$1006&amp;IF(환기설비!$F$3:$F$1006&lt;&gt;"","("&amp;환기설비!$F$3:$F$1006&amp;")",""),환기설비!$G$3:$G$1006=$D66)),""))</f>
        <v/>
      </c>
      <c r="K66" s="43">
        <f>COUNTIF(면!C:C,D66)+COUNTIF(면!H:H,D66)</f>
        <v>0</v>
      </c>
      <c r="L66" s="44">
        <f>SUMIFS(면!F:F, 면!C:C, D66, 면!D:D, "floor") + SUMIFS(면!F:F, 면!H:H, D66, 면!D:D, "ceiling")</f>
        <v>0</v>
      </c>
    </row>
    <row r="67" spans="2:12" ht="17.100000000000001" customHeight="1">
      <c r="B67" s="6"/>
      <c r="C67" s="6"/>
      <c r="D67" s="6"/>
      <c r="E67" s="6"/>
      <c r="F67" s="6"/>
      <c r="G67" s="35"/>
      <c r="H67" s="42" t="str" cm="1">
        <f t="array" ref="H67">IF($D67="","",IFERROR(_xlfn.LET(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_xlpm.matched,_xlfn._xlws.FILTER(_xlpm.types,(_xlpm.rooms=$D67)*ISNUMBER(MATCH(_xlpm.types,_xlpm.valid,0))),
_xlpm.uniqueTypes,_xlfn.UNIQUE(_xlpm.matched),
_xlpm.nums,_xlfn.MAP(_xlpm.uniqueTypes,_xlfn.LAMBDA(_xlpm.t,SUM(_xlfn._xlws.FILTER(_xlpm.qty,(_xlpm.rooms=$D67)*(_xlpm.types=_xlpm.t))))),
_xlfn.TEXTJOIN(", ",TRUE,
IF(
ISNUMBER(MATCH(_xlpm.uniqueTypes,{"바닥난방","전기바닥난방"},0)),
_xlpm.uniqueTypes,
_xlpm.uniqueTypes&amp;"("&amp;_xlpm.nums&amp;")"
))
),"-"))</f>
        <v/>
      </c>
      <c r="I67" s="42" t="str" cm="1">
        <f t="array" ref="I67">IF($D67="","",IFERROR(_xlfn.LET(_xlpm.types,공급설비!$C$3:$C$102,_xlpm.qty,공급설비!$G$3:$G$102,_xlpm.rooms,공급설비!$I$3:$I$102,_xlpm.valid,{"패키지에어컨","공조기","팬코일유닛"},_xlpm.matched,_xlfn._xlws.FILTER(_xlpm.types,(_xlpm.rooms=$D67)*ISNUMBER(MATCH(_xlpm.types,_xlpm.valid,0))),_xlpm.uniqueTypes,_xlfn.UNIQUE(_xlpm.matched),_xlfn.TEXTJOIN(", ",TRUE,_xlpm.uniqueTypes&amp;"("&amp;_xlfn.MAP(_xlpm.uniqueTypes,_xlfn.LAMBDA(_xlpm.t,SUM(_xlfn._xlws.FILTER(_xlpm.qty,(_xlpm.rooms=$D67)*(_xlpm.types=_xlpm.t)))))&amp;")")),"-"))</f>
        <v/>
      </c>
      <c r="J67" s="42" t="str" cm="1">
        <f t="array" ref="J67">IF($D67="","",IFERROR(_xlfn.TEXTJOIN(", ",TRUE,_xlfn._xlws.FILTER(환기설비!$B$3:$B$1006&amp;IF(환기설비!$F$3:$F$1006&lt;&gt;"","("&amp;환기설비!$F$3:$F$1006&amp;")",""),환기설비!$G$3:$G$1006=$D67)),""))</f>
        <v/>
      </c>
      <c r="K67" s="43">
        <f>COUNTIF(면!C:C,D67)+COUNTIF(면!H:H,D67)</f>
        <v>0</v>
      </c>
      <c r="L67" s="44">
        <f>SUMIFS(면!F:F, 면!C:C, D67, 면!D:D, "floor") + SUMIFS(면!F:F, 면!H:H, D67, 면!D:D, "ceiling")</f>
        <v>0</v>
      </c>
    </row>
    <row r="68" spans="2:12" ht="17.100000000000001" customHeight="1">
      <c r="B68" s="6"/>
      <c r="C68" s="6"/>
      <c r="D68" s="6"/>
      <c r="E68" s="6"/>
      <c r="F68" s="6"/>
      <c r="G68" s="35"/>
      <c r="H68" s="42" t="str" cm="1">
        <f t="array" ref="H68">IF($D68="","",IFERROR(_xlfn.LET(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_xlpm.matched,_xlfn._xlws.FILTER(_xlpm.types,(_xlpm.rooms=$D68)*ISNUMBER(MATCH(_xlpm.types,_xlpm.valid,0))),
_xlpm.uniqueTypes,_xlfn.UNIQUE(_xlpm.matched),
_xlpm.nums,_xlfn.MAP(_xlpm.uniqueTypes,_xlfn.LAMBDA(_xlpm.t,SUM(_xlfn._xlws.FILTER(_xlpm.qty,(_xlpm.rooms=$D68)*(_xlpm.types=_xlpm.t))))),
_xlfn.TEXTJOIN(", ",TRUE,
IF(
ISNUMBER(MATCH(_xlpm.uniqueTypes,{"바닥난방","전기바닥난방"},0)),
_xlpm.uniqueTypes,
_xlpm.uniqueTypes&amp;"("&amp;_xlpm.nums&amp;")"
))
),"-"))</f>
        <v/>
      </c>
      <c r="I68" s="42" t="str" cm="1">
        <f t="array" ref="I68">IF($D68="","",IFERROR(_xlfn.LET(_xlpm.types,공급설비!$C$3:$C$102,_xlpm.qty,공급설비!$G$3:$G$102,_xlpm.rooms,공급설비!$I$3:$I$102,_xlpm.valid,{"패키지에어컨","공조기","팬코일유닛"},_xlpm.matched,_xlfn._xlws.FILTER(_xlpm.types,(_xlpm.rooms=$D68)*ISNUMBER(MATCH(_xlpm.types,_xlpm.valid,0))),_xlpm.uniqueTypes,_xlfn.UNIQUE(_xlpm.matched),_xlfn.TEXTJOIN(", ",TRUE,_xlpm.uniqueTypes&amp;"("&amp;_xlfn.MAP(_xlpm.uniqueTypes,_xlfn.LAMBDA(_xlpm.t,SUM(_xlfn._xlws.FILTER(_xlpm.qty,(_xlpm.rooms=$D68)*(_xlpm.types=_xlpm.t)))))&amp;")")),"-"))</f>
        <v/>
      </c>
      <c r="J68" s="42" t="str" cm="1">
        <f t="array" ref="J68">IF($D68="","",IFERROR(_xlfn.TEXTJOIN(", ",TRUE,_xlfn._xlws.FILTER(환기설비!$B$3:$B$1006&amp;IF(환기설비!$F$3:$F$1006&lt;&gt;"","("&amp;환기설비!$F$3:$F$1006&amp;")",""),환기설비!$G$3:$G$1006=$D68)),""))</f>
        <v/>
      </c>
      <c r="K68" s="43">
        <f>COUNTIF(면!C:C,D68)+COUNTIF(면!H:H,D68)</f>
        <v>0</v>
      </c>
      <c r="L68" s="44">
        <f>SUMIFS(면!F:F, 면!C:C, D68, 면!D:D, "floor") + SUMIFS(면!F:F, 면!H:H, D68, 면!D:D, "ceiling")</f>
        <v>0</v>
      </c>
    </row>
    <row r="69" spans="2:12" ht="17.100000000000001" customHeight="1">
      <c r="B69" s="6"/>
      <c r="C69" s="6"/>
      <c r="D69" s="6"/>
      <c r="E69" s="6"/>
      <c r="F69" s="6"/>
      <c r="G69" s="35"/>
      <c r="H69" s="42" t="str" cm="1">
        <f t="array" ref="H69">IF($D69="","",IFERROR(_xlfn.LET(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_xlpm.matched,_xlfn._xlws.FILTER(_xlpm.types,(_xlpm.rooms=$D69)*ISNUMBER(MATCH(_xlpm.types,_xlpm.valid,0))),
_xlpm.uniqueTypes,_xlfn.UNIQUE(_xlpm.matched),
_xlpm.nums,_xlfn.MAP(_xlpm.uniqueTypes,_xlfn.LAMBDA(_xlpm.t,SUM(_xlfn._xlws.FILTER(_xlpm.qty,(_xlpm.rooms=$D69)*(_xlpm.types=_xlpm.t))))),
_xlfn.TEXTJOIN(", ",TRUE,
IF(
ISNUMBER(MATCH(_xlpm.uniqueTypes,{"바닥난방","전기바닥난방"},0)),
_xlpm.uniqueTypes,
_xlpm.uniqueTypes&amp;"("&amp;_xlpm.nums&amp;")"
))
),"-"))</f>
        <v/>
      </c>
      <c r="I69" s="42" t="str" cm="1">
        <f t="array" ref="I69">IF($D69="","",IFERROR(_xlfn.LET(_xlpm.types,공급설비!$C$3:$C$102,_xlpm.qty,공급설비!$G$3:$G$102,_xlpm.rooms,공급설비!$I$3:$I$102,_xlpm.valid,{"패키지에어컨","공조기","팬코일유닛"},_xlpm.matched,_xlfn._xlws.FILTER(_xlpm.types,(_xlpm.rooms=$D69)*ISNUMBER(MATCH(_xlpm.types,_xlpm.valid,0))),_xlpm.uniqueTypes,_xlfn.UNIQUE(_xlpm.matched),_xlfn.TEXTJOIN(", ",TRUE,_xlpm.uniqueTypes&amp;"("&amp;_xlfn.MAP(_xlpm.uniqueTypes,_xlfn.LAMBDA(_xlpm.t,SUM(_xlfn._xlws.FILTER(_xlpm.qty,(_xlpm.rooms=$D69)*(_xlpm.types=_xlpm.t)))))&amp;")")),"-"))</f>
        <v/>
      </c>
      <c r="J69" s="42" t="str" cm="1">
        <f t="array" ref="J69">IF($D69="","",IFERROR(_xlfn.TEXTJOIN(", ",TRUE,_xlfn._xlws.FILTER(환기설비!$B$3:$B$1006&amp;IF(환기설비!$F$3:$F$1006&lt;&gt;"","("&amp;환기설비!$F$3:$F$1006&amp;")",""),환기설비!$G$3:$G$1006=$D69)),""))</f>
        <v/>
      </c>
      <c r="K69" s="43">
        <f>COUNTIF(면!C:C,D69)+COUNTIF(면!H:H,D69)</f>
        <v>0</v>
      </c>
      <c r="L69" s="44">
        <f>SUMIFS(면!F:F, 면!C:C, D69, 면!D:D, "floor") + SUMIFS(면!F:F, 면!H:H, D69, 면!D:D, "ceiling")</f>
        <v>0</v>
      </c>
    </row>
    <row r="70" spans="2:12" ht="17.100000000000001" customHeight="1">
      <c r="B70" s="6"/>
      <c r="C70" s="6"/>
      <c r="D70" s="6"/>
      <c r="E70" s="6"/>
      <c r="F70" s="6"/>
      <c r="G70" s="35"/>
      <c r="H70" s="42" t="str" cm="1">
        <f t="array" ref="H70">IF($D70="","",IFERROR(_xlfn.LET(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_xlpm.matched,_xlfn._xlws.FILTER(_xlpm.types,(_xlpm.rooms=$D70)*ISNUMBER(MATCH(_xlpm.types,_xlpm.valid,0))),
_xlpm.uniqueTypes,_xlfn.UNIQUE(_xlpm.matched),
_xlpm.nums,_xlfn.MAP(_xlpm.uniqueTypes,_xlfn.LAMBDA(_xlpm.t,SUM(_xlfn._xlws.FILTER(_xlpm.qty,(_xlpm.rooms=$D70)*(_xlpm.types=_xlpm.t))))),
_xlfn.TEXTJOIN(", ",TRUE,
IF(
ISNUMBER(MATCH(_xlpm.uniqueTypes,{"바닥난방","전기바닥난방"},0)),
_xlpm.uniqueTypes,
_xlpm.uniqueTypes&amp;"("&amp;_xlpm.nums&amp;")"
))
),"-"))</f>
        <v/>
      </c>
      <c r="I70" s="42" t="str" cm="1">
        <f t="array" ref="I70">IF($D70="","",IFERROR(_xlfn.LET(_xlpm.types,공급설비!$C$3:$C$102,_xlpm.qty,공급설비!$G$3:$G$102,_xlpm.rooms,공급설비!$I$3:$I$102,_xlpm.valid,{"패키지에어컨","공조기","팬코일유닛"},_xlpm.matched,_xlfn._xlws.FILTER(_xlpm.types,(_xlpm.rooms=$D70)*ISNUMBER(MATCH(_xlpm.types,_xlpm.valid,0))),_xlpm.uniqueTypes,_xlfn.UNIQUE(_xlpm.matched),_xlfn.TEXTJOIN(", ",TRUE,_xlpm.uniqueTypes&amp;"("&amp;_xlfn.MAP(_xlpm.uniqueTypes,_xlfn.LAMBDA(_xlpm.t,SUM(_xlfn._xlws.FILTER(_xlpm.qty,(_xlpm.rooms=$D70)*(_xlpm.types=_xlpm.t)))))&amp;")")),"-"))</f>
        <v/>
      </c>
      <c r="J70" s="42" t="str" cm="1">
        <f t="array" ref="J70">IF($D70="","",IFERROR(_xlfn.TEXTJOIN(", ",TRUE,_xlfn._xlws.FILTER(환기설비!$B$3:$B$1006&amp;IF(환기설비!$F$3:$F$1006&lt;&gt;"","("&amp;환기설비!$F$3:$F$1006&amp;")",""),환기설비!$G$3:$G$1006=$D70)),""))</f>
        <v/>
      </c>
      <c r="K70" s="43">
        <f>COUNTIF(면!C:C,D70)+COUNTIF(면!H:H,D70)</f>
        <v>0</v>
      </c>
      <c r="L70" s="44">
        <f>SUMIFS(면!F:F, 면!C:C, D70, 면!D:D, "floor") + SUMIFS(면!F:F, 면!H:H, D70, 면!D:D, "ceiling")</f>
        <v>0</v>
      </c>
    </row>
    <row r="71" spans="2:12" ht="17.100000000000001" customHeight="1">
      <c r="B71" s="6"/>
      <c r="C71" s="6"/>
      <c r="D71" s="6"/>
      <c r="E71" s="6"/>
      <c r="F71" s="6"/>
      <c r="G71" s="35"/>
      <c r="H71" s="42" t="str" cm="1">
        <f t="array" ref="H71">IF($D71="","",IFERROR(_xlfn.LET(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_xlpm.matched,_xlfn._xlws.FILTER(_xlpm.types,(_xlpm.rooms=$D71)*ISNUMBER(MATCH(_xlpm.types,_xlpm.valid,0))),
_xlpm.uniqueTypes,_xlfn.UNIQUE(_xlpm.matched),
_xlpm.nums,_xlfn.MAP(_xlpm.uniqueTypes,_xlfn.LAMBDA(_xlpm.t,SUM(_xlfn._xlws.FILTER(_xlpm.qty,(_xlpm.rooms=$D71)*(_xlpm.types=_xlpm.t))))),
_xlfn.TEXTJOIN(", ",TRUE,
IF(
ISNUMBER(MATCH(_xlpm.uniqueTypes,{"바닥난방","전기바닥난방"},0)),
_xlpm.uniqueTypes,
_xlpm.uniqueTypes&amp;"("&amp;_xlpm.nums&amp;")"
))
),"-"))</f>
        <v/>
      </c>
      <c r="I71" s="42" t="str" cm="1">
        <f t="array" ref="I71">IF($D71="","",IFERROR(_xlfn.LET(_xlpm.types,공급설비!$C$3:$C$102,_xlpm.qty,공급설비!$G$3:$G$102,_xlpm.rooms,공급설비!$I$3:$I$102,_xlpm.valid,{"패키지에어컨","공조기","팬코일유닛"},_xlpm.matched,_xlfn._xlws.FILTER(_xlpm.types,(_xlpm.rooms=$D71)*ISNUMBER(MATCH(_xlpm.types,_xlpm.valid,0))),_xlpm.uniqueTypes,_xlfn.UNIQUE(_xlpm.matched),_xlfn.TEXTJOIN(", ",TRUE,_xlpm.uniqueTypes&amp;"("&amp;_xlfn.MAP(_xlpm.uniqueTypes,_xlfn.LAMBDA(_xlpm.t,SUM(_xlfn._xlws.FILTER(_xlpm.qty,(_xlpm.rooms=$D71)*(_xlpm.types=_xlpm.t)))))&amp;")")),"-"))</f>
        <v/>
      </c>
      <c r="J71" s="42" t="str" cm="1">
        <f t="array" ref="J71">IF($D71="","",IFERROR(_xlfn.TEXTJOIN(", ",TRUE,_xlfn._xlws.FILTER(환기설비!$B$3:$B$1006&amp;IF(환기설비!$F$3:$F$1006&lt;&gt;"","("&amp;환기설비!$F$3:$F$1006&amp;")",""),환기설비!$G$3:$G$1006=$D71)),""))</f>
        <v/>
      </c>
      <c r="K71" s="43">
        <f>COUNTIF(면!C:C,D71)+COUNTIF(면!H:H,D71)</f>
        <v>0</v>
      </c>
      <c r="L71" s="44">
        <f>SUMIFS(면!F:F, 면!C:C, D71, 면!D:D, "floor") + SUMIFS(면!F:F, 면!H:H, D71, 면!D:D, "ceiling")</f>
        <v>0</v>
      </c>
    </row>
    <row r="72" spans="2:12" ht="17.100000000000001" customHeight="1">
      <c r="B72" s="6"/>
      <c r="C72" s="6"/>
      <c r="D72" s="6"/>
      <c r="E72" s="6"/>
      <c r="F72" s="6"/>
      <c r="G72" s="35"/>
      <c r="H72" s="42" t="str" cm="1">
        <f t="array" ref="H72">IF($D72="","",IFERROR(_xlfn.LET(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_xlpm.matched,_xlfn._xlws.FILTER(_xlpm.types,(_xlpm.rooms=$D72)*ISNUMBER(MATCH(_xlpm.types,_xlpm.valid,0))),
_xlpm.uniqueTypes,_xlfn.UNIQUE(_xlpm.matched),
_xlpm.nums,_xlfn.MAP(_xlpm.uniqueTypes,_xlfn.LAMBDA(_xlpm.t,SUM(_xlfn._xlws.FILTER(_xlpm.qty,(_xlpm.rooms=$D72)*(_xlpm.types=_xlpm.t))))),
_xlfn.TEXTJOIN(", ",TRUE,
IF(
ISNUMBER(MATCH(_xlpm.uniqueTypes,{"바닥난방","전기바닥난방"},0)),
_xlpm.uniqueTypes,
_xlpm.uniqueTypes&amp;"("&amp;_xlpm.nums&amp;")"
))
),"-"))</f>
        <v/>
      </c>
      <c r="I72" s="42" t="str" cm="1">
        <f t="array" ref="I72">IF($D72="","",IFERROR(_xlfn.LET(_xlpm.types,공급설비!$C$3:$C$102,_xlpm.qty,공급설비!$G$3:$G$102,_xlpm.rooms,공급설비!$I$3:$I$102,_xlpm.valid,{"패키지에어컨","공조기","팬코일유닛"},_xlpm.matched,_xlfn._xlws.FILTER(_xlpm.types,(_xlpm.rooms=$D72)*ISNUMBER(MATCH(_xlpm.types,_xlpm.valid,0))),_xlpm.uniqueTypes,_xlfn.UNIQUE(_xlpm.matched),_xlfn.TEXTJOIN(", ",TRUE,_xlpm.uniqueTypes&amp;"("&amp;_xlfn.MAP(_xlpm.uniqueTypes,_xlfn.LAMBDA(_xlpm.t,SUM(_xlfn._xlws.FILTER(_xlpm.qty,(_xlpm.rooms=$D72)*(_xlpm.types=_xlpm.t)))))&amp;")")),"-"))</f>
        <v/>
      </c>
      <c r="J72" s="42" t="str" cm="1">
        <f t="array" ref="J72">IF($D72="","",IFERROR(_xlfn.TEXTJOIN(", ",TRUE,_xlfn._xlws.FILTER(환기설비!$B$3:$B$1006&amp;IF(환기설비!$F$3:$F$1006&lt;&gt;"","("&amp;환기설비!$F$3:$F$1006&amp;")",""),환기설비!$G$3:$G$1006=$D72)),""))</f>
        <v/>
      </c>
      <c r="K72" s="43">
        <f>COUNTIF(면!C:C,D72)+COUNTIF(면!H:H,D72)</f>
        <v>0</v>
      </c>
      <c r="L72" s="44">
        <f>SUMIFS(면!F:F, 면!C:C, D72, 면!D:D, "floor") + SUMIFS(면!F:F, 면!H:H, D72, 면!D:D, "ceiling")</f>
        <v>0</v>
      </c>
    </row>
    <row r="73" spans="2:12" ht="17.100000000000001" customHeight="1">
      <c r="B73" s="6"/>
      <c r="C73" s="6"/>
      <c r="D73" s="6"/>
      <c r="E73" s="6"/>
      <c r="F73" s="6"/>
      <c r="G73" s="35"/>
      <c r="H73" s="42" t="str" cm="1">
        <f t="array" ref="H73">IF($D73="","",IFERROR(_xlfn.LET(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_xlpm.matched,_xlfn._xlws.FILTER(_xlpm.types,(_xlpm.rooms=$D73)*ISNUMBER(MATCH(_xlpm.types,_xlpm.valid,0))),
_xlpm.uniqueTypes,_xlfn.UNIQUE(_xlpm.matched),
_xlpm.nums,_xlfn.MAP(_xlpm.uniqueTypes,_xlfn.LAMBDA(_xlpm.t,SUM(_xlfn._xlws.FILTER(_xlpm.qty,(_xlpm.rooms=$D73)*(_xlpm.types=_xlpm.t))))),
_xlfn.TEXTJOIN(", ",TRUE,
IF(
ISNUMBER(MATCH(_xlpm.uniqueTypes,{"바닥난방","전기바닥난방"},0)),
_xlpm.uniqueTypes,
_xlpm.uniqueTypes&amp;"("&amp;_xlpm.nums&amp;")"
))
),"-"))</f>
        <v/>
      </c>
      <c r="I73" s="42" t="str" cm="1">
        <f t="array" ref="I73">IF($D73="","",IFERROR(_xlfn.LET(_xlpm.types,공급설비!$C$3:$C$102,_xlpm.qty,공급설비!$G$3:$G$102,_xlpm.rooms,공급설비!$I$3:$I$102,_xlpm.valid,{"패키지에어컨","공조기","팬코일유닛"},_xlpm.matched,_xlfn._xlws.FILTER(_xlpm.types,(_xlpm.rooms=$D73)*ISNUMBER(MATCH(_xlpm.types,_xlpm.valid,0))),_xlpm.uniqueTypes,_xlfn.UNIQUE(_xlpm.matched),_xlfn.TEXTJOIN(", ",TRUE,_xlpm.uniqueTypes&amp;"("&amp;_xlfn.MAP(_xlpm.uniqueTypes,_xlfn.LAMBDA(_xlpm.t,SUM(_xlfn._xlws.FILTER(_xlpm.qty,(_xlpm.rooms=$D73)*(_xlpm.types=_xlpm.t)))))&amp;")")),"-"))</f>
        <v/>
      </c>
      <c r="J73" s="42" t="str" cm="1">
        <f t="array" ref="J73">IF($D73="","",IFERROR(_xlfn.TEXTJOIN(", ",TRUE,_xlfn._xlws.FILTER(환기설비!$B$3:$B$1006&amp;IF(환기설비!$F$3:$F$1006&lt;&gt;"","("&amp;환기설비!$F$3:$F$1006&amp;")",""),환기설비!$G$3:$G$1006=$D73)),""))</f>
        <v/>
      </c>
      <c r="K73" s="43">
        <f>COUNTIF(면!C:C,D73)+COUNTIF(면!H:H,D73)</f>
        <v>0</v>
      </c>
      <c r="L73" s="44">
        <f>SUMIFS(면!F:F, 면!C:C, D73, 면!D:D, "floor") + SUMIFS(면!F:F, 면!H:H, D73, 면!D:D, "ceiling")</f>
        <v>0</v>
      </c>
    </row>
    <row r="74" spans="2:12" ht="17.100000000000001" customHeight="1">
      <c r="B74" s="6"/>
      <c r="C74" s="6"/>
      <c r="D74" s="6"/>
      <c r="E74" s="6"/>
      <c r="F74" s="6"/>
      <c r="G74" s="35"/>
      <c r="H74" s="42" t="str" cm="1">
        <f t="array" ref="H74">IF($D74="","",IFERROR(_xlfn.LET(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_xlpm.matched,_xlfn._xlws.FILTER(_xlpm.types,(_xlpm.rooms=$D74)*ISNUMBER(MATCH(_xlpm.types,_xlpm.valid,0))),
_xlpm.uniqueTypes,_xlfn.UNIQUE(_xlpm.matched),
_xlpm.nums,_xlfn.MAP(_xlpm.uniqueTypes,_xlfn.LAMBDA(_xlpm.t,SUM(_xlfn._xlws.FILTER(_xlpm.qty,(_xlpm.rooms=$D74)*(_xlpm.types=_xlpm.t))))),
_xlfn.TEXTJOIN(", ",TRUE,
IF(
ISNUMBER(MATCH(_xlpm.uniqueTypes,{"바닥난방","전기바닥난방"},0)),
_xlpm.uniqueTypes,
_xlpm.uniqueTypes&amp;"("&amp;_xlpm.nums&amp;")"
))
),"-"))</f>
        <v/>
      </c>
      <c r="I74" s="42" t="str" cm="1">
        <f t="array" ref="I74">IF($D74="","",IFERROR(_xlfn.LET(_xlpm.types,공급설비!$C$3:$C$102,_xlpm.qty,공급설비!$G$3:$G$102,_xlpm.rooms,공급설비!$I$3:$I$102,_xlpm.valid,{"패키지에어컨","공조기","팬코일유닛"},_xlpm.matched,_xlfn._xlws.FILTER(_xlpm.types,(_xlpm.rooms=$D74)*ISNUMBER(MATCH(_xlpm.types,_xlpm.valid,0))),_xlpm.uniqueTypes,_xlfn.UNIQUE(_xlpm.matched),_xlfn.TEXTJOIN(", ",TRUE,_xlpm.uniqueTypes&amp;"("&amp;_xlfn.MAP(_xlpm.uniqueTypes,_xlfn.LAMBDA(_xlpm.t,SUM(_xlfn._xlws.FILTER(_xlpm.qty,(_xlpm.rooms=$D74)*(_xlpm.types=_xlpm.t)))))&amp;")")),"-"))</f>
        <v/>
      </c>
      <c r="J74" s="42" t="str" cm="1">
        <f t="array" ref="J74">IF($D74="","",IFERROR(_xlfn.TEXTJOIN(", ",TRUE,_xlfn._xlws.FILTER(환기설비!$B$3:$B$1006&amp;IF(환기설비!$F$3:$F$1006&lt;&gt;"","("&amp;환기설비!$F$3:$F$1006&amp;")",""),환기설비!$G$3:$G$1006=$D74)),""))</f>
        <v/>
      </c>
      <c r="K74" s="43">
        <f>COUNTIF(면!C:C,D74)+COUNTIF(면!H:H,D74)</f>
        <v>0</v>
      </c>
      <c r="L74" s="44">
        <f>SUMIFS(면!F:F, 면!C:C, D74, 면!D:D, "floor") + SUMIFS(면!F:F, 면!H:H, D74, 면!D:D, "ceiling")</f>
        <v>0</v>
      </c>
    </row>
    <row r="75" spans="2:12" ht="17.100000000000001" customHeight="1">
      <c r="B75" s="6"/>
      <c r="C75" s="6"/>
      <c r="D75" s="6"/>
      <c r="E75" s="6"/>
      <c r="F75" s="6"/>
      <c r="G75" s="35"/>
      <c r="H75" s="42" t="str" cm="1">
        <f t="array" ref="H75">IF($D75="","",IFERROR(_xlfn.LET(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_xlpm.matched,_xlfn._xlws.FILTER(_xlpm.types,(_xlpm.rooms=$D75)*ISNUMBER(MATCH(_xlpm.types,_xlpm.valid,0))),
_xlpm.uniqueTypes,_xlfn.UNIQUE(_xlpm.matched),
_xlpm.nums,_xlfn.MAP(_xlpm.uniqueTypes,_xlfn.LAMBDA(_xlpm.t,SUM(_xlfn._xlws.FILTER(_xlpm.qty,(_xlpm.rooms=$D75)*(_xlpm.types=_xlpm.t))))),
_xlfn.TEXTJOIN(", ",TRUE,
IF(
ISNUMBER(MATCH(_xlpm.uniqueTypes,{"바닥난방","전기바닥난방"},0)),
_xlpm.uniqueTypes,
_xlpm.uniqueTypes&amp;"("&amp;_xlpm.nums&amp;")"
))
),"-"))</f>
        <v/>
      </c>
      <c r="I75" s="42" t="str" cm="1">
        <f t="array" ref="I75">IF($D75="","",IFERROR(_xlfn.LET(_xlpm.types,공급설비!$C$3:$C$102,_xlpm.qty,공급설비!$G$3:$G$102,_xlpm.rooms,공급설비!$I$3:$I$102,_xlpm.valid,{"패키지에어컨","공조기","팬코일유닛"},_xlpm.matched,_xlfn._xlws.FILTER(_xlpm.types,(_xlpm.rooms=$D75)*ISNUMBER(MATCH(_xlpm.types,_xlpm.valid,0))),_xlpm.uniqueTypes,_xlfn.UNIQUE(_xlpm.matched),_xlfn.TEXTJOIN(", ",TRUE,_xlpm.uniqueTypes&amp;"("&amp;_xlfn.MAP(_xlpm.uniqueTypes,_xlfn.LAMBDA(_xlpm.t,SUM(_xlfn._xlws.FILTER(_xlpm.qty,(_xlpm.rooms=$D75)*(_xlpm.types=_xlpm.t)))))&amp;")")),"-"))</f>
        <v/>
      </c>
      <c r="J75" s="42" t="str" cm="1">
        <f t="array" ref="J75">IF($D75="","",IFERROR(_xlfn.TEXTJOIN(", ",TRUE,_xlfn._xlws.FILTER(환기설비!$B$3:$B$1006&amp;IF(환기설비!$F$3:$F$1006&lt;&gt;"","("&amp;환기설비!$F$3:$F$1006&amp;")",""),환기설비!$G$3:$G$1006=$D75)),""))</f>
        <v/>
      </c>
      <c r="K75" s="43">
        <f>COUNTIF(면!C:C,D75)+COUNTIF(면!H:H,D75)</f>
        <v>0</v>
      </c>
      <c r="L75" s="44">
        <f>SUMIFS(면!F:F, 면!C:C, D75, 면!D:D, "floor") + SUMIFS(면!F:F, 면!H:H, D75, 면!D:D, "ceiling")</f>
        <v>0</v>
      </c>
    </row>
    <row r="76" spans="2:12" ht="17.100000000000001" customHeight="1">
      <c r="B76" s="6"/>
      <c r="C76" s="6"/>
      <c r="D76" s="6"/>
      <c r="E76" s="6"/>
      <c r="F76" s="6"/>
      <c r="G76" s="35"/>
      <c r="H76" s="42" t="str" cm="1">
        <f t="array" ref="H76">IF($D76="","",IFERROR(_xlfn.LET(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_xlpm.matched,_xlfn._xlws.FILTER(_xlpm.types,(_xlpm.rooms=$D76)*ISNUMBER(MATCH(_xlpm.types,_xlpm.valid,0))),
_xlpm.uniqueTypes,_xlfn.UNIQUE(_xlpm.matched),
_xlpm.nums,_xlfn.MAP(_xlpm.uniqueTypes,_xlfn.LAMBDA(_xlpm.t,SUM(_xlfn._xlws.FILTER(_xlpm.qty,(_xlpm.rooms=$D76)*(_xlpm.types=_xlpm.t))))),
_xlfn.TEXTJOIN(", ",TRUE,
IF(
ISNUMBER(MATCH(_xlpm.uniqueTypes,{"바닥난방","전기바닥난방"},0)),
_xlpm.uniqueTypes,
_xlpm.uniqueTypes&amp;"("&amp;_xlpm.nums&amp;")"
))
),"-"))</f>
        <v/>
      </c>
      <c r="I76" s="42" t="str" cm="1">
        <f t="array" ref="I76">IF($D76="","",IFERROR(_xlfn.LET(_xlpm.types,공급설비!$C$3:$C$102,_xlpm.qty,공급설비!$G$3:$G$102,_xlpm.rooms,공급설비!$I$3:$I$102,_xlpm.valid,{"패키지에어컨","공조기","팬코일유닛"},_xlpm.matched,_xlfn._xlws.FILTER(_xlpm.types,(_xlpm.rooms=$D76)*ISNUMBER(MATCH(_xlpm.types,_xlpm.valid,0))),_xlpm.uniqueTypes,_xlfn.UNIQUE(_xlpm.matched),_xlfn.TEXTJOIN(", ",TRUE,_xlpm.uniqueTypes&amp;"("&amp;_xlfn.MAP(_xlpm.uniqueTypes,_xlfn.LAMBDA(_xlpm.t,SUM(_xlfn._xlws.FILTER(_xlpm.qty,(_xlpm.rooms=$D76)*(_xlpm.types=_xlpm.t)))))&amp;")")),"-"))</f>
        <v/>
      </c>
      <c r="J76" s="42" t="str" cm="1">
        <f t="array" ref="J76">IF($D76="","",IFERROR(_xlfn.TEXTJOIN(", ",TRUE,_xlfn._xlws.FILTER(환기설비!$B$3:$B$1006&amp;IF(환기설비!$F$3:$F$1006&lt;&gt;"","("&amp;환기설비!$F$3:$F$1006&amp;")",""),환기설비!$G$3:$G$1006=$D76)),""))</f>
        <v/>
      </c>
      <c r="K76" s="43">
        <f>COUNTIF(면!C:C,D76)+COUNTIF(면!H:H,D76)</f>
        <v>0</v>
      </c>
      <c r="L76" s="44">
        <f>SUMIFS(면!F:F, 면!C:C, D76, 면!D:D, "floor") + SUMIFS(면!F:F, 면!H:H, D76, 면!D:D, "ceiling")</f>
        <v>0</v>
      </c>
    </row>
    <row r="77" spans="2:12" ht="17.100000000000001" customHeight="1">
      <c r="B77" s="6"/>
      <c r="C77" s="6"/>
      <c r="D77" s="6"/>
      <c r="E77" s="6"/>
      <c r="F77" s="6"/>
      <c r="G77" s="35"/>
      <c r="H77" s="42" t="str" cm="1">
        <f t="array" ref="H77">IF($D77="","",IFERROR(_xlfn.LET(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_xlpm.matched,_xlfn._xlws.FILTER(_xlpm.types,(_xlpm.rooms=$D77)*ISNUMBER(MATCH(_xlpm.types,_xlpm.valid,0))),
_xlpm.uniqueTypes,_xlfn.UNIQUE(_xlpm.matched),
_xlpm.nums,_xlfn.MAP(_xlpm.uniqueTypes,_xlfn.LAMBDA(_xlpm.t,SUM(_xlfn._xlws.FILTER(_xlpm.qty,(_xlpm.rooms=$D77)*(_xlpm.types=_xlpm.t))))),
_xlfn.TEXTJOIN(", ",TRUE,
IF(
ISNUMBER(MATCH(_xlpm.uniqueTypes,{"바닥난방","전기바닥난방"},0)),
_xlpm.uniqueTypes,
_xlpm.uniqueTypes&amp;"("&amp;_xlpm.nums&amp;")"
))
),"-"))</f>
        <v/>
      </c>
      <c r="I77" s="42" t="str" cm="1">
        <f t="array" ref="I77">IF($D77="","",IFERROR(_xlfn.LET(_xlpm.types,공급설비!$C$3:$C$102,_xlpm.qty,공급설비!$G$3:$G$102,_xlpm.rooms,공급설비!$I$3:$I$102,_xlpm.valid,{"패키지에어컨","공조기","팬코일유닛"},_xlpm.matched,_xlfn._xlws.FILTER(_xlpm.types,(_xlpm.rooms=$D77)*ISNUMBER(MATCH(_xlpm.types,_xlpm.valid,0))),_xlpm.uniqueTypes,_xlfn.UNIQUE(_xlpm.matched),_xlfn.TEXTJOIN(", ",TRUE,_xlpm.uniqueTypes&amp;"("&amp;_xlfn.MAP(_xlpm.uniqueTypes,_xlfn.LAMBDA(_xlpm.t,SUM(_xlfn._xlws.FILTER(_xlpm.qty,(_xlpm.rooms=$D77)*(_xlpm.types=_xlpm.t)))))&amp;")")),"-"))</f>
        <v/>
      </c>
      <c r="J77" s="42" t="str" cm="1">
        <f t="array" ref="J77">IF($D77="","",IFERROR(_xlfn.TEXTJOIN(", ",TRUE,_xlfn._xlws.FILTER(환기설비!$B$3:$B$1006&amp;IF(환기설비!$F$3:$F$1006&lt;&gt;"","("&amp;환기설비!$F$3:$F$1006&amp;")",""),환기설비!$G$3:$G$1006=$D77)),""))</f>
        <v/>
      </c>
      <c r="K77" s="43">
        <f>COUNTIF(면!C:C,D77)+COUNTIF(면!H:H,D77)</f>
        <v>0</v>
      </c>
      <c r="L77" s="44">
        <f>SUMIFS(면!F:F, 면!C:C, D77, 면!D:D, "floor") + SUMIFS(면!F:F, 면!H:H, D77, 면!D:D, "ceiling")</f>
        <v>0</v>
      </c>
    </row>
    <row r="78" spans="2:12" ht="17.100000000000001" customHeight="1">
      <c r="B78" s="6"/>
      <c r="C78" s="6"/>
      <c r="D78" s="6"/>
      <c r="E78" s="6"/>
      <c r="F78" s="6"/>
      <c r="G78" s="35"/>
      <c r="H78" s="42" t="str" cm="1">
        <f t="array" ref="H78">IF($D78="","",IFERROR(_xlfn.LET(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_xlpm.matched,_xlfn._xlws.FILTER(_xlpm.types,(_xlpm.rooms=$D78)*ISNUMBER(MATCH(_xlpm.types,_xlpm.valid,0))),
_xlpm.uniqueTypes,_xlfn.UNIQUE(_xlpm.matched),
_xlpm.nums,_xlfn.MAP(_xlpm.uniqueTypes,_xlfn.LAMBDA(_xlpm.t,SUM(_xlfn._xlws.FILTER(_xlpm.qty,(_xlpm.rooms=$D78)*(_xlpm.types=_xlpm.t))))),
_xlfn.TEXTJOIN(", ",TRUE,
IF(
ISNUMBER(MATCH(_xlpm.uniqueTypes,{"바닥난방","전기바닥난방"},0)),
_xlpm.uniqueTypes,
_xlpm.uniqueTypes&amp;"("&amp;_xlpm.nums&amp;")"
))
),"-"))</f>
        <v/>
      </c>
      <c r="I78" s="42" t="str" cm="1">
        <f t="array" ref="I78">IF($D78="","",IFERROR(_xlfn.LET(_xlpm.types,공급설비!$C$3:$C$102,_xlpm.qty,공급설비!$G$3:$G$102,_xlpm.rooms,공급설비!$I$3:$I$102,_xlpm.valid,{"패키지에어컨","공조기","팬코일유닛"},_xlpm.matched,_xlfn._xlws.FILTER(_xlpm.types,(_xlpm.rooms=$D78)*ISNUMBER(MATCH(_xlpm.types,_xlpm.valid,0))),_xlpm.uniqueTypes,_xlfn.UNIQUE(_xlpm.matched),_xlfn.TEXTJOIN(", ",TRUE,_xlpm.uniqueTypes&amp;"("&amp;_xlfn.MAP(_xlpm.uniqueTypes,_xlfn.LAMBDA(_xlpm.t,SUM(_xlfn._xlws.FILTER(_xlpm.qty,(_xlpm.rooms=$D78)*(_xlpm.types=_xlpm.t)))))&amp;")")),"-"))</f>
        <v/>
      </c>
      <c r="J78" s="42" t="str" cm="1">
        <f t="array" ref="J78">IF($D78="","",IFERROR(_xlfn.TEXTJOIN(", ",TRUE,_xlfn._xlws.FILTER(환기설비!$B$3:$B$1006&amp;IF(환기설비!$F$3:$F$1006&lt;&gt;"","("&amp;환기설비!$F$3:$F$1006&amp;")",""),환기설비!$G$3:$G$1006=$D78)),""))</f>
        <v/>
      </c>
      <c r="K78" s="43">
        <f>COUNTIF(면!C:C,D78)+COUNTIF(면!H:H,D78)</f>
        <v>0</v>
      </c>
      <c r="L78" s="44">
        <f>SUMIFS(면!F:F, 면!C:C, D78, 면!D:D, "floor") + SUMIFS(면!F:F, 면!H:H, D78, 면!D:D, "ceiling")</f>
        <v>0</v>
      </c>
    </row>
    <row r="79" spans="2:12" ht="17.100000000000001" customHeight="1">
      <c r="B79" s="6"/>
      <c r="C79" s="6"/>
      <c r="D79" s="6"/>
      <c r="E79" s="6"/>
      <c r="F79" s="6"/>
      <c r="G79" s="35"/>
      <c r="H79" s="42" t="str" cm="1">
        <f t="array" ref="H79">IF($D79="","",IFERROR(_xlfn.LET(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_xlpm.matched,_xlfn._xlws.FILTER(_xlpm.types,(_xlpm.rooms=$D79)*ISNUMBER(MATCH(_xlpm.types,_xlpm.valid,0))),
_xlpm.uniqueTypes,_xlfn.UNIQUE(_xlpm.matched),
_xlpm.nums,_xlfn.MAP(_xlpm.uniqueTypes,_xlfn.LAMBDA(_xlpm.t,SUM(_xlfn._xlws.FILTER(_xlpm.qty,(_xlpm.rooms=$D79)*(_xlpm.types=_xlpm.t))))),
_xlfn.TEXTJOIN(", ",TRUE,
IF(
ISNUMBER(MATCH(_xlpm.uniqueTypes,{"바닥난방","전기바닥난방"},0)),
_xlpm.uniqueTypes,
_xlpm.uniqueTypes&amp;"("&amp;_xlpm.nums&amp;")"
))
),"-"))</f>
        <v/>
      </c>
      <c r="I79" s="42" t="str" cm="1">
        <f t="array" ref="I79">IF($D79="","",IFERROR(_xlfn.LET(_xlpm.types,공급설비!$C$3:$C$102,_xlpm.qty,공급설비!$G$3:$G$102,_xlpm.rooms,공급설비!$I$3:$I$102,_xlpm.valid,{"패키지에어컨","공조기","팬코일유닛"},_xlpm.matched,_xlfn._xlws.FILTER(_xlpm.types,(_xlpm.rooms=$D79)*ISNUMBER(MATCH(_xlpm.types,_xlpm.valid,0))),_xlpm.uniqueTypes,_xlfn.UNIQUE(_xlpm.matched),_xlfn.TEXTJOIN(", ",TRUE,_xlpm.uniqueTypes&amp;"("&amp;_xlfn.MAP(_xlpm.uniqueTypes,_xlfn.LAMBDA(_xlpm.t,SUM(_xlfn._xlws.FILTER(_xlpm.qty,(_xlpm.rooms=$D79)*(_xlpm.types=_xlpm.t)))))&amp;")")),"-"))</f>
        <v/>
      </c>
      <c r="J79" s="42" t="str" cm="1">
        <f t="array" ref="J79">IF($D79="","",IFERROR(_xlfn.TEXTJOIN(", ",TRUE,_xlfn._xlws.FILTER(환기설비!$B$3:$B$1006&amp;IF(환기설비!$F$3:$F$1006&lt;&gt;"","("&amp;환기설비!$F$3:$F$1006&amp;")",""),환기설비!$G$3:$G$1006=$D79)),""))</f>
        <v/>
      </c>
      <c r="K79" s="43">
        <f>COUNTIF(면!C:C,D79)+COUNTIF(면!H:H,D79)</f>
        <v>0</v>
      </c>
      <c r="L79" s="44">
        <f>SUMIFS(면!F:F, 면!C:C, D79, 면!D:D, "floor") + SUMIFS(면!F:F, 면!H:H, D79, 면!D:D, "ceiling")</f>
        <v>0</v>
      </c>
    </row>
    <row r="80" spans="2:12" ht="17.100000000000001" customHeight="1">
      <c r="B80" s="6"/>
      <c r="C80" s="6"/>
      <c r="D80" s="6"/>
      <c r="E80" s="6"/>
      <c r="F80" s="6"/>
      <c r="G80" s="35"/>
      <c r="H80" s="42" t="str" cm="1">
        <f t="array" ref="H80">IF($D80="","",IFERROR(_xlfn.LET(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_xlpm.matched,_xlfn._xlws.FILTER(_xlpm.types,(_xlpm.rooms=$D80)*ISNUMBER(MATCH(_xlpm.types,_xlpm.valid,0))),
_xlpm.uniqueTypes,_xlfn.UNIQUE(_xlpm.matched),
_xlpm.nums,_xlfn.MAP(_xlpm.uniqueTypes,_xlfn.LAMBDA(_xlpm.t,SUM(_xlfn._xlws.FILTER(_xlpm.qty,(_xlpm.rooms=$D80)*(_xlpm.types=_xlpm.t))))),
_xlfn.TEXTJOIN(", ",TRUE,
IF(
ISNUMBER(MATCH(_xlpm.uniqueTypes,{"바닥난방","전기바닥난방"},0)),
_xlpm.uniqueTypes,
_xlpm.uniqueTypes&amp;"("&amp;_xlpm.nums&amp;")"
))
),"-"))</f>
        <v/>
      </c>
      <c r="I80" s="42" t="str" cm="1">
        <f t="array" ref="I80">IF($D80="","",IFERROR(_xlfn.LET(_xlpm.types,공급설비!$C$3:$C$102,_xlpm.qty,공급설비!$G$3:$G$102,_xlpm.rooms,공급설비!$I$3:$I$102,_xlpm.valid,{"패키지에어컨","공조기","팬코일유닛"},_xlpm.matched,_xlfn._xlws.FILTER(_xlpm.types,(_xlpm.rooms=$D80)*ISNUMBER(MATCH(_xlpm.types,_xlpm.valid,0))),_xlpm.uniqueTypes,_xlfn.UNIQUE(_xlpm.matched),_xlfn.TEXTJOIN(", ",TRUE,_xlpm.uniqueTypes&amp;"("&amp;_xlfn.MAP(_xlpm.uniqueTypes,_xlfn.LAMBDA(_xlpm.t,SUM(_xlfn._xlws.FILTER(_xlpm.qty,(_xlpm.rooms=$D80)*(_xlpm.types=_xlpm.t)))))&amp;")")),"-"))</f>
        <v/>
      </c>
      <c r="J80" s="42" t="str" cm="1">
        <f t="array" ref="J80">IF($D80="","",IFERROR(_xlfn.TEXTJOIN(", ",TRUE,_xlfn._xlws.FILTER(환기설비!$B$3:$B$1006&amp;IF(환기설비!$F$3:$F$1006&lt;&gt;"","("&amp;환기설비!$F$3:$F$1006&amp;")",""),환기설비!$G$3:$G$1006=$D80)),""))</f>
        <v/>
      </c>
      <c r="K80" s="43">
        <f>COUNTIF(면!C:C,D80)+COUNTIF(면!H:H,D80)</f>
        <v>0</v>
      </c>
      <c r="L80" s="44">
        <f>SUMIFS(면!F:F, 면!C:C, D80, 면!D:D, "floor") + SUMIFS(면!F:F, 면!H:H, D80, 면!D:D, "ceiling")</f>
        <v>0</v>
      </c>
    </row>
    <row r="81" spans="2:12" ht="17.100000000000001" customHeight="1">
      <c r="B81" s="6"/>
      <c r="C81" s="6"/>
      <c r="D81" s="6"/>
      <c r="E81" s="6"/>
      <c r="F81" s="6"/>
      <c r="G81" s="35"/>
      <c r="H81" s="42" t="str" cm="1">
        <f t="array" ref="H81">IF($D81="","",IFERROR(_xlfn.LET(
_xlpm.types,공급설비!$C$3:$C$102,
_xlpm.qty,공급설비!$G$3:$G$102,
_xlpm.rooms,공급설비!$I$3:$I$102,
_xlpm.valid,{"공조기","팬코일유닛","방열기","전기방열기","바닥난방","전기바닥난방"},
_xlpm.matched,_xlfn._xlws.FILTER(_xlpm.types,(_xlpm.rooms=$D81)*ISNUMBER(MATCH(_xlpm.types,_xlpm.valid,0))),
_xlpm.uniqueTypes,_xlfn.UNIQUE(_xlpm.matched),
_xlpm.nums,_xlfn.MAP(_xlpm.uniqueTypes,_xlfn.LAMBDA(_xlpm.t,SUM(_xlfn._xlws.FILTER(_xlpm.qty,(_xlpm.rooms=$D81)*(_xlpm.types=_xlpm.t))))),
_xlfn.TEXTJOIN(", ",TRUE,
IF(
ISNUMBER(MATCH(_xlpm.uniqueTypes,{"바닥난방","전기바닥난방"},0)),
_xlpm.uniqueTypes,
_xlpm.uniqueTypes&amp;"("&amp;_xlpm.nums&amp;")"
))
),"-"))</f>
        <v/>
      </c>
      <c r="I81" s="42" t="str" cm="1">
        <f t="array" ref="I81">IF($D81="","",IFERROR(_xlfn.LET(_xlpm.types,공급설비!$C$3:$C$102,_xlpm.qty,공급설비!$G$3:$G$102,_xlpm.rooms,공급설비!$I$3:$I$102,_xlpm.valid,{"패키지에어컨","공조기","팬코일유닛"},_xlpm.matched,_xlfn._xlws.FILTER(_xlpm.types,(_xlpm.rooms=$D81)*ISNUMBER(MATCH(_xlpm.types,_xlpm.valid,0))),_xlpm.uniqueTypes,_xlfn.UNIQUE(_xlpm.matched),_xlfn.TEXTJOIN(", ",TRUE,_xlpm.uniqueTypes&amp;"("&amp;_xlfn.MAP(_xlpm.uniqueTypes,_xlfn.LAMBDA(_xlpm.t,SUM(_xlfn._xlws.FILTER(_xlpm.qty,(_xlpm.rooms=$D81)*(_xlpm.types=_xlpm.t)))))&amp;")")),"-"))</f>
        <v/>
      </c>
      <c r="J81" s="42" t="str" cm="1">
        <f t="array" ref="J81">IF($D81="","",IFERROR(_xlfn.TEXTJOIN(", ",TRUE,_xlfn._xlws.FILTER(환기설비!$B$3:$B$1006&amp;IF(환기설비!$F$3:$F$1006&lt;&gt;"","("&amp;환기설비!$F$3:$F$1006&amp;")",""),환기설비!$G$3:$G$1006=$D81)),""))</f>
        <v/>
      </c>
      <c r="K81" s="43">
        <f>COUNTIF(면!C:C,D81)+COUNTIF(면!H:H,D81)</f>
        <v>0</v>
      </c>
      <c r="L81" s="44">
        <f>SUMIFS(면!F:F, 면!C:C, D81, 면!D:D, "floor") + SUMIFS(면!F:F, 면!H:H, D81, 면!D:D, "ceiling")</f>
        <v>0</v>
      </c>
    </row>
    <row r="82" spans="2:12" ht="17.100000000000001" customHeight="1">
      <c r="K82" s="39"/>
      <c r="L82" s="40"/>
    </row>
    <row r="83" spans="2:12" ht="17.100000000000001" customHeight="1">
      <c r="K83" s="39"/>
      <c r="L83" s="40"/>
    </row>
    <row r="84" spans="2:12" ht="17.100000000000001" customHeight="1">
      <c r="K84" s="39"/>
      <c r="L84" s="40"/>
    </row>
    <row r="85" spans="2:12" ht="17.100000000000001" customHeight="1">
      <c r="K85" s="39"/>
      <c r="L85" s="40"/>
    </row>
    <row r="86" spans="2:12" ht="17.100000000000001" customHeight="1">
      <c r="K86" s="39"/>
      <c r="L86" s="40"/>
    </row>
    <row r="87" spans="2:12" ht="17.100000000000001" customHeight="1">
      <c r="K87" s="39"/>
      <c r="L87" s="40"/>
    </row>
    <row r="88" spans="2:12" ht="17.100000000000001" customHeight="1">
      <c r="K88" s="39"/>
      <c r="L88" s="40"/>
    </row>
    <row r="89" spans="2:12" ht="17.100000000000001" customHeight="1">
      <c r="K89" s="39"/>
      <c r="L89" s="40"/>
    </row>
    <row r="90" spans="2:12" ht="17.100000000000001" customHeight="1">
      <c r="K90" s="39"/>
      <c r="L90" s="40"/>
    </row>
    <row r="91" spans="2:12" ht="17.100000000000001" customHeight="1">
      <c r="K91" s="39"/>
      <c r="L91" s="40"/>
    </row>
    <row r="92" spans="2:12" ht="17.100000000000001" customHeight="1">
      <c r="K92" s="39"/>
      <c r="L92" s="40"/>
    </row>
    <row r="93" spans="2:12" ht="17.100000000000001" customHeight="1">
      <c r="K93" s="39"/>
      <c r="L93" s="40"/>
    </row>
    <row r="94" spans="2:12" ht="17.100000000000001" customHeight="1">
      <c r="K94" s="39"/>
      <c r="L94" s="40"/>
    </row>
    <row r="95" spans="2:12" ht="17.100000000000001" customHeight="1">
      <c r="K95" s="39"/>
      <c r="L95" s="40"/>
    </row>
    <row r="96" spans="2:12" ht="17.100000000000001" customHeight="1">
      <c r="K96" s="39"/>
      <c r="L96" s="40"/>
    </row>
    <row r="97" spans="11:12" ht="17.100000000000001" customHeight="1">
      <c r="K97" s="39"/>
      <c r="L97" s="40"/>
    </row>
    <row r="98" spans="11:12" ht="17.100000000000001" customHeight="1">
      <c r="K98" s="39"/>
      <c r="L98" s="40"/>
    </row>
    <row r="99" spans="11:12" ht="17.100000000000001" customHeight="1">
      <c r="K99" s="39"/>
      <c r="L99" s="40"/>
    </row>
    <row r="100" spans="11:12" ht="17.100000000000001" customHeight="1">
      <c r="K100" s="39"/>
      <c r="L100" s="40"/>
    </row>
    <row r="101" spans="11:12" ht="17.100000000000001" customHeight="1">
      <c r="K101" s="39"/>
      <c r="L101" s="40"/>
    </row>
    <row r="102" spans="11:12" ht="17.100000000000001" customHeight="1">
      <c r="K102" s="39"/>
      <c r="L102" s="40"/>
    </row>
    <row r="103" spans="11:12" ht="17.100000000000001" customHeight="1">
      <c r="K103" s="39"/>
      <c r="L103" s="40"/>
    </row>
    <row r="104" spans="11:12" ht="17.100000000000001" customHeight="1">
      <c r="K104" s="39"/>
      <c r="L104" s="40"/>
    </row>
    <row r="105" spans="11:12" ht="17.100000000000001" customHeight="1">
      <c r="K105" s="39"/>
      <c r="L105" s="40"/>
    </row>
    <row r="106" spans="11:12" ht="17.100000000000001" customHeight="1">
      <c r="K106" s="39"/>
      <c r="L106" s="40"/>
    </row>
    <row r="107" spans="11:12" ht="17.100000000000001" customHeight="1">
      <c r="K107" s="39"/>
      <c r="L107" s="40"/>
    </row>
    <row r="108" spans="11:12" ht="17.100000000000001" customHeight="1">
      <c r="K108" s="39"/>
      <c r="L108" s="40"/>
    </row>
    <row r="109" spans="11:12" ht="17.100000000000001" customHeight="1">
      <c r="K109" s="39"/>
      <c r="L109" s="40"/>
    </row>
    <row r="110" spans="11:12" ht="17.100000000000001" customHeight="1">
      <c r="K110" s="39"/>
      <c r="L110" s="40"/>
    </row>
    <row r="111" spans="11:12" ht="17.100000000000001" customHeight="1">
      <c r="K111" s="39"/>
      <c r="L111" s="40"/>
    </row>
    <row r="112" spans="11:12" ht="17.100000000000001" customHeight="1">
      <c r="K112" s="39"/>
      <c r="L112" s="40"/>
    </row>
    <row r="113" spans="11:12" ht="17.100000000000001" customHeight="1">
      <c r="K113" s="39"/>
      <c r="L113" s="40"/>
    </row>
    <row r="114" spans="11:12" ht="17.100000000000001" customHeight="1">
      <c r="K114" s="39"/>
      <c r="L114" s="40"/>
    </row>
    <row r="115" spans="11:12" ht="17.100000000000001" customHeight="1">
      <c r="K115" s="39"/>
      <c r="L115" s="40"/>
    </row>
    <row r="116" spans="11:12" ht="17.100000000000001" customHeight="1">
      <c r="K116" s="39"/>
      <c r="L116" s="40"/>
    </row>
    <row r="117" spans="11:12" ht="17.100000000000001" customHeight="1">
      <c r="K117" s="39"/>
      <c r="L117" s="40"/>
    </row>
    <row r="118" spans="11:12" ht="17.100000000000001" customHeight="1">
      <c r="K118" s="39"/>
      <c r="L118" s="40"/>
    </row>
    <row r="119" spans="11:12" ht="17.100000000000001" customHeight="1">
      <c r="K119" s="39"/>
      <c r="L119" s="40"/>
    </row>
    <row r="120" spans="11:12" ht="17.100000000000001" customHeight="1">
      <c r="K120" s="39"/>
      <c r="L120" s="40"/>
    </row>
    <row r="121" spans="11:12" ht="17.100000000000001" customHeight="1">
      <c r="K121" s="39"/>
      <c r="L121" s="40"/>
    </row>
    <row r="122" spans="11:12" ht="17.100000000000001" customHeight="1">
      <c r="K122" s="39"/>
      <c r="L122" s="40"/>
    </row>
    <row r="123" spans="11:12" ht="17.100000000000001" customHeight="1">
      <c r="K123" s="39"/>
      <c r="L123" s="40"/>
    </row>
    <row r="124" spans="11:12" ht="17.100000000000001" customHeight="1">
      <c r="K124" s="39"/>
      <c r="L124" s="40"/>
    </row>
    <row r="125" spans="11:12" ht="17.100000000000001" customHeight="1">
      <c r="K125" s="39"/>
      <c r="L125" s="40"/>
    </row>
    <row r="126" spans="11:12" ht="17.100000000000001" customHeight="1">
      <c r="K126" s="39"/>
      <c r="L126" s="40"/>
    </row>
    <row r="127" spans="11:12" ht="17.100000000000001" customHeight="1">
      <c r="K127" s="39"/>
      <c r="L127" s="40"/>
    </row>
    <row r="128" spans="11:12" ht="17.100000000000001" customHeight="1">
      <c r="K128" s="39"/>
      <c r="L128" s="40"/>
    </row>
    <row r="129" spans="11:12" ht="17.100000000000001" customHeight="1">
      <c r="K129" s="39"/>
      <c r="L129" s="40"/>
    </row>
    <row r="130" spans="11:12" ht="17.100000000000001" customHeight="1">
      <c r="K130" s="39"/>
      <c r="L130" s="40"/>
    </row>
    <row r="131" spans="11:12" ht="17.100000000000001" customHeight="1">
      <c r="K131" s="39"/>
      <c r="L131" s="40"/>
    </row>
    <row r="132" spans="11:12" ht="17.100000000000001" customHeight="1">
      <c r="K132" s="39"/>
      <c r="L132" s="40"/>
    </row>
    <row r="133" spans="11:12" ht="17.100000000000001" customHeight="1">
      <c r="K133" s="39"/>
      <c r="L133" s="40"/>
    </row>
    <row r="134" spans="11:12" ht="17.100000000000001" customHeight="1">
      <c r="K134" s="39"/>
      <c r="L134" s="40"/>
    </row>
    <row r="135" spans="11:12" ht="17.100000000000001" customHeight="1">
      <c r="K135" s="39"/>
      <c r="L135" s="40"/>
    </row>
    <row r="136" spans="11:12" ht="17.100000000000001" customHeight="1">
      <c r="K136" s="39"/>
      <c r="L136" s="40"/>
    </row>
    <row r="137" spans="11:12" ht="17.100000000000001" customHeight="1">
      <c r="K137" s="39"/>
      <c r="L137" s="40"/>
    </row>
    <row r="138" spans="11:12" ht="17.100000000000001" customHeight="1">
      <c r="K138" s="39"/>
      <c r="L138" s="40"/>
    </row>
    <row r="139" spans="11:12" ht="17.100000000000001" customHeight="1">
      <c r="K139" s="39"/>
      <c r="L139" s="40"/>
    </row>
    <row r="140" spans="11:12" ht="17.100000000000001" customHeight="1">
      <c r="K140" s="39"/>
      <c r="L140" s="40"/>
    </row>
    <row r="141" spans="11:12" ht="17.100000000000001" customHeight="1">
      <c r="K141" s="39"/>
      <c r="L141" s="40"/>
    </row>
    <row r="142" spans="11:12" ht="17.100000000000001" customHeight="1">
      <c r="K142" s="39"/>
      <c r="L142" s="40"/>
    </row>
    <row r="143" spans="11:12" ht="17.100000000000001" customHeight="1">
      <c r="K143" s="39"/>
      <c r="L143" s="40"/>
    </row>
    <row r="144" spans="11:12" ht="17.100000000000001" customHeight="1">
      <c r="K144" s="39"/>
      <c r="L144" s="40"/>
    </row>
    <row r="145" spans="11:12" ht="17.100000000000001" customHeight="1">
      <c r="K145" s="39"/>
      <c r="L145" s="40"/>
    </row>
    <row r="146" spans="11:12" ht="17.100000000000001" customHeight="1">
      <c r="K146" s="39"/>
      <c r="L146" s="40"/>
    </row>
    <row r="147" spans="11:12" ht="17.100000000000001" customHeight="1">
      <c r="K147" s="39"/>
      <c r="L147" s="40"/>
    </row>
    <row r="148" spans="11:12" ht="17.100000000000001" customHeight="1">
      <c r="K148" s="39"/>
      <c r="L148" s="40"/>
    </row>
    <row r="149" spans="11:12" ht="17.100000000000001" customHeight="1">
      <c r="K149" s="39"/>
      <c r="L149" s="40"/>
    </row>
    <row r="150" spans="11:12" ht="17.100000000000001" customHeight="1">
      <c r="K150" s="39"/>
      <c r="L150" s="40"/>
    </row>
    <row r="151" spans="11:12" ht="17.100000000000001" customHeight="1">
      <c r="K151" s="39"/>
      <c r="L151" s="40"/>
    </row>
    <row r="152" spans="11:12" ht="17.100000000000001" customHeight="1">
      <c r="K152" s="39"/>
      <c r="L152" s="40"/>
    </row>
    <row r="153" spans="11:12" ht="17.100000000000001" customHeight="1">
      <c r="K153" s="39"/>
      <c r="L153" s="40"/>
    </row>
    <row r="154" spans="11:12" ht="17.100000000000001" customHeight="1">
      <c r="K154" s="39"/>
      <c r="L154" s="40"/>
    </row>
    <row r="155" spans="11:12" ht="17.100000000000001" customHeight="1">
      <c r="K155" s="39"/>
      <c r="L155" s="40"/>
    </row>
    <row r="156" spans="11:12" ht="17.100000000000001" customHeight="1">
      <c r="K156" s="39"/>
      <c r="L156" s="40"/>
    </row>
    <row r="157" spans="11:12" ht="17.100000000000001" customHeight="1">
      <c r="K157" s="39"/>
      <c r="L157" s="40"/>
    </row>
    <row r="158" spans="11:12" ht="17.100000000000001" customHeight="1">
      <c r="K158" s="39"/>
      <c r="L158" s="40"/>
    </row>
    <row r="159" spans="11:12" ht="17.100000000000001" customHeight="1">
      <c r="K159" s="39"/>
      <c r="L159" s="40"/>
    </row>
    <row r="160" spans="11:12" ht="17.100000000000001" customHeight="1">
      <c r="K160" s="39"/>
      <c r="L160" s="40"/>
    </row>
    <row r="161" spans="11:12" ht="17.100000000000001" customHeight="1">
      <c r="K161" s="39"/>
      <c r="L161" s="40"/>
    </row>
    <row r="162" spans="11:12" ht="17.100000000000001" customHeight="1">
      <c r="K162" s="39"/>
      <c r="L162" s="40"/>
    </row>
    <row r="163" spans="11:12" ht="17.100000000000001" customHeight="1">
      <c r="K163" s="39"/>
      <c r="L163" s="40"/>
    </row>
    <row r="164" spans="11:12" ht="17.100000000000001" customHeight="1">
      <c r="K164" s="39"/>
      <c r="L164" s="40"/>
    </row>
    <row r="165" spans="11:12" ht="17.100000000000001" customHeight="1">
      <c r="K165" s="39"/>
      <c r="L165" s="40"/>
    </row>
    <row r="166" spans="11:12" ht="17.100000000000001" customHeight="1">
      <c r="K166" s="39"/>
      <c r="L166" s="40"/>
    </row>
    <row r="167" spans="11:12" ht="17.100000000000001" customHeight="1">
      <c r="K167" s="39"/>
      <c r="L167" s="40"/>
    </row>
    <row r="168" spans="11:12" ht="17.100000000000001" customHeight="1">
      <c r="K168" s="39"/>
      <c r="L168" s="40"/>
    </row>
    <row r="169" spans="11:12" ht="17.100000000000001" customHeight="1">
      <c r="K169" s="39"/>
      <c r="L169" s="40"/>
    </row>
    <row r="170" spans="11:12" ht="17.100000000000001" customHeight="1">
      <c r="K170" s="39"/>
      <c r="L170" s="40"/>
    </row>
    <row r="171" spans="11:12" ht="17.100000000000001" customHeight="1">
      <c r="K171" s="39"/>
      <c r="L171" s="40"/>
    </row>
    <row r="172" spans="11:12" ht="17.100000000000001" customHeight="1">
      <c r="K172" s="39"/>
      <c r="L172" s="40"/>
    </row>
    <row r="173" spans="11:12" ht="17.100000000000001" customHeight="1">
      <c r="K173" s="39"/>
      <c r="L173" s="40"/>
    </row>
    <row r="174" spans="11:12" ht="17.100000000000001" customHeight="1">
      <c r="K174" s="39"/>
      <c r="L174" s="40"/>
    </row>
    <row r="175" spans="11:12" ht="17.100000000000001" customHeight="1">
      <c r="K175" s="39"/>
      <c r="L175" s="40"/>
    </row>
    <row r="176" spans="11:12" ht="17.100000000000001" customHeight="1">
      <c r="K176" s="39"/>
      <c r="L176" s="40"/>
    </row>
    <row r="177" spans="11:12" ht="17.100000000000001" customHeight="1">
      <c r="K177" s="39"/>
      <c r="L177" s="40"/>
    </row>
    <row r="178" spans="11:12" ht="17.100000000000001" customHeight="1">
      <c r="K178" s="39"/>
      <c r="L178" s="40"/>
    </row>
    <row r="179" spans="11:12" ht="17.100000000000001" customHeight="1">
      <c r="K179" s="39"/>
      <c r="L179" s="40"/>
    </row>
    <row r="180" spans="11:12" ht="17.100000000000001" customHeight="1">
      <c r="K180" s="39"/>
      <c r="L180" s="40"/>
    </row>
    <row r="181" spans="11:12" ht="17.100000000000001" customHeight="1">
      <c r="K181" s="39"/>
      <c r="L181" s="40"/>
    </row>
    <row r="182" spans="11:12" ht="17.100000000000001" customHeight="1">
      <c r="K182" s="39"/>
      <c r="L182" s="40"/>
    </row>
    <row r="183" spans="11:12" ht="17.100000000000001" customHeight="1">
      <c r="K183" s="39"/>
      <c r="L183" s="40"/>
    </row>
    <row r="184" spans="11:12" ht="17.100000000000001" customHeight="1">
      <c r="K184" s="39"/>
      <c r="L184" s="40"/>
    </row>
    <row r="185" spans="11:12" ht="17.100000000000001" customHeight="1">
      <c r="K185" s="39"/>
      <c r="L185" s="40"/>
    </row>
    <row r="186" spans="11:12" ht="17.100000000000001" customHeight="1">
      <c r="K186" s="39"/>
      <c r="L186" s="40"/>
    </row>
    <row r="187" spans="11:12" ht="17.100000000000001" customHeight="1">
      <c r="K187" s="39"/>
      <c r="L187" s="40"/>
    </row>
    <row r="188" spans="11:12" ht="17.100000000000001" customHeight="1">
      <c r="K188" s="39"/>
      <c r="L188" s="40"/>
    </row>
    <row r="189" spans="11:12" ht="17.100000000000001" customHeight="1">
      <c r="K189" s="39"/>
      <c r="L189" s="40"/>
    </row>
    <row r="190" spans="11:12" ht="17.100000000000001" customHeight="1">
      <c r="K190" s="39"/>
      <c r="L190" s="40"/>
    </row>
    <row r="191" spans="11:12" ht="17.100000000000001" customHeight="1">
      <c r="K191" s="39"/>
      <c r="L191" s="40"/>
    </row>
    <row r="192" spans="11:12" ht="17.100000000000001" customHeight="1">
      <c r="K192" s="39"/>
      <c r="L192" s="40"/>
    </row>
    <row r="193" spans="11:12" ht="17.100000000000001" customHeight="1">
      <c r="K193" s="39"/>
      <c r="L193" s="40"/>
    </row>
    <row r="194" spans="11:12" ht="17.100000000000001" customHeight="1">
      <c r="K194" s="39"/>
      <c r="L194" s="40"/>
    </row>
    <row r="195" spans="11:12" ht="17.100000000000001" customHeight="1">
      <c r="K195" s="39"/>
      <c r="L195" s="40"/>
    </row>
    <row r="196" spans="11:12" ht="17.100000000000001" customHeight="1">
      <c r="K196" s="39"/>
      <c r="L196" s="40"/>
    </row>
    <row r="197" spans="11:12" ht="17.100000000000001" customHeight="1">
      <c r="K197" s="39"/>
      <c r="L197" s="40"/>
    </row>
    <row r="198" spans="11:12" ht="17.100000000000001" customHeight="1">
      <c r="K198" s="39"/>
      <c r="L198" s="40"/>
    </row>
    <row r="199" spans="11:12" ht="17.100000000000001" customHeight="1">
      <c r="K199" s="39"/>
      <c r="L199" s="40"/>
    </row>
    <row r="200" spans="11:12" ht="17.100000000000001" customHeight="1">
      <c r="K200" s="39"/>
      <c r="L200" s="40"/>
    </row>
    <row r="201" spans="11:12" ht="17.100000000000001" customHeight="1">
      <c r="K201" s="39"/>
      <c r="L201" s="40"/>
    </row>
    <row r="202" spans="11:12" ht="17.100000000000001" customHeight="1">
      <c r="K202" s="39"/>
      <c r="L202" s="40"/>
    </row>
    <row r="203" spans="11:12" ht="17.100000000000001" customHeight="1">
      <c r="K203" s="39"/>
      <c r="L203" s="40"/>
    </row>
    <row r="204" spans="11:12" ht="17.100000000000001" customHeight="1">
      <c r="K204" s="39"/>
      <c r="L204" s="40"/>
    </row>
    <row r="205" spans="11:12" ht="17.100000000000001" customHeight="1">
      <c r="K205" s="39"/>
      <c r="L205" s="40"/>
    </row>
    <row r="206" spans="11:12" ht="17.100000000000001" customHeight="1">
      <c r="K206" s="39"/>
      <c r="L206" s="40"/>
    </row>
    <row r="207" spans="11:12" ht="17.100000000000001" customHeight="1">
      <c r="K207" s="39"/>
      <c r="L207" s="40"/>
    </row>
    <row r="208" spans="11:12" ht="17.100000000000001" customHeight="1">
      <c r="K208" s="39"/>
      <c r="L208" s="40"/>
    </row>
    <row r="209" spans="11:12" ht="17.100000000000001" customHeight="1">
      <c r="K209" s="39"/>
      <c r="L209" s="40"/>
    </row>
    <row r="210" spans="11:12" ht="17.100000000000001" customHeight="1">
      <c r="K210" s="39"/>
      <c r="L210" s="40"/>
    </row>
    <row r="211" spans="11:12" ht="17.100000000000001" customHeight="1">
      <c r="K211" s="39"/>
      <c r="L211" s="40"/>
    </row>
    <row r="212" spans="11:12" ht="17.100000000000001" customHeight="1">
      <c r="K212" s="39"/>
      <c r="L212" s="40"/>
    </row>
    <row r="213" spans="11:12" ht="17.100000000000001" customHeight="1">
      <c r="K213" s="39"/>
      <c r="L213" s="40"/>
    </row>
    <row r="214" spans="11:12" ht="17.100000000000001" customHeight="1">
      <c r="K214" s="39"/>
      <c r="L214" s="40"/>
    </row>
    <row r="215" spans="11:12" ht="17.100000000000001" customHeight="1">
      <c r="K215" s="39"/>
      <c r="L215" s="40"/>
    </row>
    <row r="216" spans="11:12" ht="17.100000000000001" customHeight="1">
      <c r="K216" s="39"/>
      <c r="L216" s="40"/>
    </row>
    <row r="217" spans="11:12" ht="17.100000000000001" customHeight="1">
      <c r="K217" s="39"/>
      <c r="L217" s="40"/>
    </row>
    <row r="218" spans="11:12" ht="17.100000000000001" customHeight="1">
      <c r="K218" s="39"/>
      <c r="L218" s="40"/>
    </row>
    <row r="219" spans="11:12" ht="17.100000000000001" customHeight="1">
      <c r="K219" s="39"/>
      <c r="L219" s="40"/>
    </row>
    <row r="220" spans="11:12" ht="17.100000000000001" customHeight="1">
      <c r="K220" s="39"/>
      <c r="L220" s="40"/>
    </row>
    <row r="221" spans="11:12" ht="17.100000000000001" customHeight="1">
      <c r="K221" s="39"/>
      <c r="L221" s="40"/>
    </row>
    <row r="222" spans="11:12" ht="17.100000000000001" customHeight="1">
      <c r="K222" s="39"/>
      <c r="L222" s="40"/>
    </row>
    <row r="223" spans="11:12" ht="17.100000000000001" customHeight="1">
      <c r="K223" s="39"/>
      <c r="L223" s="40"/>
    </row>
    <row r="224" spans="11:12" ht="17.100000000000001" customHeight="1">
      <c r="K224" s="39"/>
      <c r="L224" s="40"/>
    </row>
    <row r="225" spans="11:12" ht="17.100000000000001" customHeight="1">
      <c r="K225" s="39"/>
      <c r="L225" s="40"/>
    </row>
    <row r="226" spans="11:12" ht="17.100000000000001" customHeight="1">
      <c r="K226" s="39"/>
      <c r="L226" s="40"/>
    </row>
    <row r="227" spans="11:12" ht="17.100000000000001" customHeight="1">
      <c r="K227" s="39"/>
      <c r="L227" s="40"/>
    </row>
    <row r="228" spans="11:12" ht="17.100000000000001" customHeight="1">
      <c r="K228" s="39"/>
      <c r="L228" s="40"/>
    </row>
    <row r="229" spans="11:12" ht="17.100000000000001" customHeight="1">
      <c r="K229" s="39"/>
      <c r="L229" s="40"/>
    </row>
    <row r="230" spans="11:12" ht="17.100000000000001" customHeight="1">
      <c r="K230" s="39"/>
      <c r="L230" s="40"/>
    </row>
    <row r="231" spans="11:12" ht="17.100000000000001" customHeight="1">
      <c r="K231" s="39"/>
      <c r="L231" s="40"/>
    </row>
    <row r="232" spans="11:12" ht="17.100000000000001" customHeight="1">
      <c r="K232" s="39"/>
      <c r="L232" s="40"/>
    </row>
    <row r="233" spans="11:12" ht="17.100000000000001" customHeight="1">
      <c r="K233" s="39"/>
      <c r="L233" s="40"/>
    </row>
    <row r="234" spans="11:12" ht="17.100000000000001" customHeight="1">
      <c r="K234" s="39"/>
      <c r="L234" s="40"/>
    </row>
    <row r="235" spans="11:12" ht="17.100000000000001" customHeight="1">
      <c r="K235" s="39"/>
      <c r="L235" s="40"/>
    </row>
    <row r="236" spans="11:12" ht="17.100000000000001" customHeight="1">
      <c r="K236" s="39"/>
      <c r="L236" s="40"/>
    </row>
    <row r="237" spans="11:12" ht="17.100000000000001" customHeight="1">
      <c r="K237" s="39"/>
      <c r="L237" s="40"/>
    </row>
    <row r="238" spans="11:12" ht="17.100000000000001" customHeight="1">
      <c r="K238" s="39"/>
      <c r="L238" s="40"/>
    </row>
    <row r="239" spans="11:12" ht="17.100000000000001" customHeight="1">
      <c r="K239" s="39"/>
      <c r="L239" s="40"/>
    </row>
    <row r="240" spans="11:12" ht="17.100000000000001" customHeight="1">
      <c r="K240" s="39"/>
      <c r="L240" s="40"/>
    </row>
    <row r="241" spans="11:12" ht="17.100000000000001" customHeight="1">
      <c r="K241" s="39"/>
      <c r="L241" s="40"/>
    </row>
    <row r="242" spans="11:12" ht="17.100000000000001" customHeight="1">
      <c r="K242" s="39"/>
      <c r="L242" s="40"/>
    </row>
    <row r="243" spans="11:12" ht="17.100000000000001" customHeight="1">
      <c r="K243" s="39"/>
      <c r="L243" s="40"/>
    </row>
    <row r="244" spans="11:12" ht="17.100000000000001" customHeight="1">
      <c r="K244" s="39"/>
      <c r="L244" s="40"/>
    </row>
    <row r="245" spans="11:12" ht="17.100000000000001" customHeight="1">
      <c r="K245" s="39"/>
      <c r="L245" s="40"/>
    </row>
    <row r="246" spans="11:12" ht="17.100000000000001" customHeight="1">
      <c r="K246" s="39"/>
      <c r="L246" s="40"/>
    </row>
    <row r="247" spans="11:12" ht="17.100000000000001" customHeight="1">
      <c r="K247" s="39"/>
      <c r="L247" s="40"/>
    </row>
    <row r="248" spans="11:12" ht="17.100000000000001" customHeight="1">
      <c r="K248" s="39"/>
      <c r="L248" s="40"/>
    </row>
    <row r="249" spans="11:12" ht="17.100000000000001" customHeight="1">
      <c r="K249" s="39"/>
      <c r="L249" s="40"/>
    </row>
    <row r="250" spans="11:12" ht="17.100000000000001" customHeight="1">
      <c r="K250" s="39"/>
      <c r="L250" s="40"/>
    </row>
    <row r="251" spans="11:12" ht="17.100000000000001" customHeight="1">
      <c r="K251" s="39"/>
      <c r="L251" s="40"/>
    </row>
    <row r="252" spans="11:12" ht="17.100000000000001" customHeight="1">
      <c r="K252" s="39"/>
      <c r="L252" s="40"/>
    </row>
    <row r="253" spans="11:12" ht="17.100000000000001" customHeight="1">
      <c r="K253" s="39"/>
      <c r="L253" s="40"/>
    </row>
    <row r="254" spans="11:12" ht="17.100000000000001" customHeight="1">
      <c r="K254" s="39"/>
      <c r="L254" s="40"/>
    </row>
    <row r="255" spans="11:12" ht="17.100000000000001" customHeight="1">
      <c r="K255" s="39"/>
      <c r="L255" s="40"/>
    </row>
    <row r="256" spans="11:12" ht="17.100000000000001" customHeight="1">
      <c r="K256" s="39"/>
      <c r="L256" s="40"/>
    </row>
    <row r="257" spans="11:12" ht="17.100000000000001" customHeight="1">
      <c r="K257" s="39"/>
      <c r="L257" s="40"/>
    </row>
    <row r="258" spans="11:12" ht="17.100000000000001" customHeight="1">
      <c r="K258" s="39"/>
      <c r="L258" s="40"/>
    </row>
    <row r="259" spans="11:12" ht="17.100000000000001" customHeight="1">
      <c r="K259" s="39"/>
      <c r="L259" s="40"/>
    </row>
    <row r="260" spans="11:12" ht="17.100000000000001" customHeight="1">
      <c r="K260" s="39"/>
      <c r="L260" s="40"/>
    </row>
    <row r="261" spans="11:12" ht="17.100000000000001" customHeight="1">
      <c r="K261" s="39"/>
      <c r="L261" s="40"/>
    </row>
    <row r="262" spans="11:12" ht="17.100000000000001" customHeight="1">
      <c r="K262" s="39"/>
      <c r="L262" s="40"/>
    </row>
    <row r="263" spans="11:12" ht="17.100000000000001" customHeight="1">
      <c r="K263" s="39"/>
      <c r="L263" s="40"/>
    </row>
    <row r="264" spans="11:12" ht="17.100000000000001" customHeight="1">
      <c r="K264" s="39"/>
      <c r="L264" s="40"/>
    </row>
    <row r="265" spans="11:12" ht="17.100000000000001" customHeight="1">
      <c r="K265" s="39"/>
      <c r="L265" s="40"/>
    </row>
    <row r="266" spans="11:12" ht="17.100000000000001" customHeight="1">
      <c r="K266" s="39"/>
      <c r="L266" s="40"/>
    </row>
    <row r="267" spans="11:12" ht="17.100000000000001" customHeight="1">
      <c r="K267" s="39"/>
      <c r="L267" s="40"/>
    </row>
    <row r="268" spans="11:12" ht="17.100000000000001" customHeight="1">
      <c r="K268" s="39"/>
      <c r="L268" s="40"/>
    </row>
    <row r="269" spans="11:12" ht="17.100000000000001" customHeight="1">
      <c r="K269" s="39"/>
      <c r="L269" s="40"/>
    </row>
    <row r="270" spans="11:12" ht="17.100000000000001" customHeight="1">
      <c r="K270" s="39"/>
      <c r="L270" s="40"/>
    </row>
    <row r="271" spans="11:12" ht="17.100000000000001" customHeight="1">
      <c r="K271" s="39"/>
      <c r="L271" s="40"/>
    </row>
    <row r="272" spans="11:12" ht="17.100000000000001" customHeight="1">
      <c r="K272" s="39"/>
      <c r="L272" s="40"/>
    </row>
    <row r="273" spans="11:12" ht="17.100000000000001" customHeight="1">
      <c r="K273" s="39"/>
      <c r="L273" s="40"/>
    </row>
    <row r="274" spans="11:12" ht="17.100000000000001" customHeight="1">
      <c r="K274" s="39"/>
      <c r="L274" s="40"/>
    </row>
    <row r="275" spans="11:12" ht="17.100000000000001" customHeight="1">
      <c r="K275" s="39"/>
      <c r="L275" s="40"/>
    </row>
    <row r="276" spans="11:12" ht="17.100000000000001" customHeight="1">
      <c r="K276" s="39"/>
      <c r="L276" s="40"/>
    </row>
    <row r="277" spans="11:12" ht="17.100000000000001" customHeight="1">
      <c r="K277" s="39"/>
      <c r="L277" s="40"/>
    </row>
    <row r="278" spans="11:12" ht="17.100000000000001" customHeight="1">
      <c r="K278" s="39"/>
      <c r="L278" s="40"/>
    </row>
    <row r="279" spans="11:12" ht="17.100000000000001" customHeight="1">
      <c r="K279" s="39"/>
      <c r="L279" s="40"/>
    </row>
    <row r="280" spans="11:12" ht="17.100000000000001" customHeight="1">
      <c r="K280" s="39"/>
      <c r="L280" s="40"/>
    </row>
    <row r="281" spans="11:12" ht="17.100000000000001" customHeight="1">
      <c r="K281" s="39"/>
      <c r="L281" s="40"/>
    </row>
    <row r="282" spans="11:12" ht="17.100000000000001" customHeight="1">
      <c r="K282" s="39"/>
      <c r="L282" s="40"/>
    </row>
    <row r="283" spans="11:12" ht="17.100000000000001" customHeight="1">
      <c r="K283" s="39"/>
      <c r="L283" s="40"/>
    </row>
    <row r="284" spans="11:12" ht="17.100000000000001" customHeight="1">
      <c r="K284" s="39"/>
      <c r="L284" s="40"/>
    </row>
    <row r="285" spans="11:12" ht="17.100000000000001" customHeight="1">
      <c r="K285" s="39"/>
      <c r="L285" s="40"/>
    </row>
    <row r="286" spans="11:12" ht="17.100000000000001" customHeight="1">
      <c r="K286" s="39"/>
      <c r="L286" s="40"/>
    </row>
    <row r="287" spans="11:12" ht="17.100000000000001" customHeight="1">
      <c r="K287" s="39"/>
      <c r="L287" s="40"/>
    </row>
    <row r="288" spans="11:12" ht="17.100000000000001" customHeight="1">
      <c r="K288" s="39"/>
      <c r="L288" s="40"/>
    </row>
    <row r="289" spans="11:12" ht="17.100000000000001" customHeight="1">
      <c r="K289" s="39"/>
      <c r="L289" s="40"/>
    </row>
    <row r="290" spans="11:12" ht="17.100000000000001" customHeight="1">
      <c r="K290" s="39"/>
      <c r="L290" s="40"/>
    </row>
    <row r="291" spans="11:12" ht="17.100000000000001" customHeight="1">
      <c r="K291" s="39"/>
      <c r="L291" s="40"/>
    </row>
    <row r="292" spans="11:12" ht="17.100000000000001" customHeight="1">
      <c r="K292" s="39"/>
      <c r="L292" s="40"/>
    </row>
    <row r="293" spans="11:12" ht="17.100000000000001" customHeight="1">
      <c r="K293" s="39"/>
      <c r="L293" s="40"/>
    </row>
    <row r="294" spans="11:12" ht="17.100000000000001" customHeight="1">
      <c r="K294" s="39"/>
      <c r="L294" s="40"/>
    </row>
    <row r="295" spans="11:12" ht="17.100000000000001" customHeight="1">
      <c r="K295" s="39"/>
      <c r="L295" s="40"/>
    </row>
    <row r="296" spans="11:12" ht="17.100000000000001" customHeight="1">
      <c r="K296" s="39"/>
      <c r="L296" s="40"/>
    </row>
    <row r="297" spans="11:12" ht="17.100000000000001" customHeight="1">
      <c r="K297" s="39"/>
      <c r="L297" s="40"/>
    </row>
    <row r="298" spans="11:12" ht="17.100000000000001" customHeight="1">
      <c r="K298" s="39"/>
      <c r="L298" s="40"/>
    </row>
    <row r="299" spans="11:12" ht="17.100000000000001" customHeight="1">
      <c r="K299" s="39"/>
      <c r="L299" s="40"/>
    </row>
    <row r="300" spans="11:12" ht="17.100000000000001" customHeight="1">
      <c r="K300" s="39"/>
      <c r="L300" s="40"/>
    </row>
    <row r="301" spans="11:12" ht="17.100000000000001" customHeight="1">
      <c r="K301" s="39"/>
      <c r="L301" s="40"/>
    </row>
    <row r="302" spans="11:12" ht="17.100000000000001" customHeight="1">
      <c r="K302" s="39"/>
      <c r="L302" s="40"/>
    </row>
    <row r="303" spans="11:12" ht="17.100000000000001" customHeight="1">
      <c r="K303" s="39"/>
      <c r="L303" s="40"/>
    </row>
    <row r="304" spans="11:12" ht="17.100000000000001" customHeight="1">
      <c r="K304" s="39"/>
      <c r="L304" s="40"/>
    </row>
    <row r="305" spans="11:12" ht="17.100000000000001" customHeight="1">
      <c r="K305" s="39"/>
      <c r="L305" s="40"/>
    </row>
    <row r="306" spans="11:12" ht="17.100000000000001" customHeight="1">
      <c r="K306" s="39"/>
      <c r="L306" s="40"/>
    </row>
    <row r="307" spans="11:12" ht="17.100000000000001" customHeight="1">
      <c r="K307" s="39"/>
      <c r="L307" s="40"/>
    </row>
    <row r="308" spans="11:12" ht="17.100000000000001" customHeight="1">
      <c r="K308" s="39"/>
      <c r="L308" s="40"/>
    </row>
    <row r="309" spans="11:12" ht="17.100000000000001" customHeight="1">
      <c r="K309" s="39"/>
      <c r="L309" s="40"/>
    </row>
    <row r="310" spans="11:12" ht="17.100000000000001" customHeight="1">
      <c r="K310" s="39"/>
      <c r="L310" s="40"/>
    </row>
    <row r="311" spans="11:12" ht="17.100000000000001" customHeight="1">
      <c r="K311" s="39"/>
      <c r="L311" s="40"/>
    </row>
    <row r="312" spans="11:12" ht="17.100000000000001" customHeight="1">
      <c r="K312" s="39"/>
      <c r="L312" s="40"/>
    </row>
    <row r="313" spans="11:12" ht="17.100000000000001" customHeight="1">
      <c r="K313" s="39"/>
      <c r="L313" s="40"/>
    </row>
    <row r="314" spans="11:12" ht="17.100000000000001" customHeight="1">
      <c r="K314" s="39"/>
      <c r="L314" s="40"/>
    </row>
    <row r="315" spans="11:12" ht="17.100000000000001" customHeight="1">
      <c r="K315" s="39"/>
      <c r="L315" s="40"/>
    </row>
    <row r="316" spans="11:12" ht="17.100000000000001" customHeight="1">
      <c r="K316" s="39"/>
      <c r="L316" s="40"/>
    </row>
    <row r="317" spans="11:12" ht="17.100000000000001" customHeight="1">
      <c r="K317" s="39"/>
      <c r="L317" s="40"/>
    </row>
    <row r="318" spans="11:12" ht="17.100000000000001" customHeight="1">
      <c r="K318" s="39"/>
      <c r="L318" s="40"/>
    </row>
    <row r="319" spans="11:12" ht="17.100000000000001" customHeight="1">
      <c r="K319" s="39"/>
      <c r="L319" s="40"/>
    </row>
    <row r="320" spans="11:12" ht="17.100000000000001" customHeight="1">
      <c r="K320" s="39"/>
      <c r="L320" s="40"/>
    </row>
    <row r="321" spans="11:12" ht="17.100000000000001" customHeight="1">
      <c r="K321" s="39"/>
      <c r="L321" s="40"/>
    </row>
    <row r="322" spans="11:12" ht="17.100000000000001" customHeight="1">
      <c r="K322" s="39"/>
      <c r="L322" s="40"/>
    </row>
    <row r="323" spans="11:12" ht="17.100000000000001" customHeight="1">
      <c r="K323" s="39"/>
      <c r="L323" s="40"/>
    </row>
    <row r="324" spans="11:12" ht="17.100000000000001" customHeight="1">
      <c r="K324" s="39"/>
      <c r="L324" s="40"/>
    </row>
    <row r="325" spans="11:12" ht="17.100000000000001" customHeight="1">
      <c r="K325" s="39"/>
      <c r="L325" s="40"/>
    </row>
    <row r="326" spans="11:12" ht="17.100000000000001" customHeight="1">
      <c r="K326" s="39"/>
      <c r="L326" s="40"/>
    </row>
    <row r="327" spans="11:12" ht="17.100000000000001" customHeight="1">
      <c r="K327" s="39"/>
      <c r="L327" s="40"/>
    </row>
    <row r="328" spans="11:12" ht="17.100000000000001" customHeight="1">
      <c r="K328" s="39"/>
      <c r="L328" s="40"/>
    </row>
    <row r="329" spans="11:12" ht="17.100000000000001" customHeight="1">
      <c r="K329" s="39"/>
      <c r="L329" s="40"/>
    </row>
    <row r="330" spans="11:12" ht="17.100000000000001" customHeight="1">
      <c r="K330" s="39"/>
      <c r="L330" s="40"/>
    </row>
    <row r="331" spans="11:12" ht="17.100000000000001" customHeight="1">
      <c r="K331" s="39"/>
      <c r="L331" s="40"/>
    </row>
    <row r="332" spans="11:12" ht="17.100000000000001" customHeight="1">
      <c r="K332" s="39"/>
      <c r="L332" s="40"/>
    </row>
    <row r="333" spans="11:12" ht="17.100000000000001" customHeight="1">
      <c r="K333" s="39"/>
      <c r="L333" s="40"/>
    </row>
    <row r="334" spans="11:12" ht="17.100000000000001" customHeight="1">
      <c r="K334" s="39"/>
      <c r="L334" s="40"/>
    </row>
    <row r="335" spans="11:12" ht="17.100000000000001" customHeight="1">
      <c r="K335" s="39"/>
      <c r="L335" s="40"/>
    </row>
    <row r="336" spans="11:12" ht="17.100000000000001" customHeight="1">
      <c r="K336" s="39"/>
      <c r="L336" s="40"/>
    </row>
    <row r="337" spans="11:12" ht="17.100000000000001" customHeight="1">
      <c r="K337" s="39"/>
      <c r="L337" s="40"/>
    </row>
    <row r="338" spans="11:12" ht="17.100000000000001" customHeight="1">
      <c r="K338" s="39"/>
      <c r="L338" s="40"/>
    </row>
    <row r="339" spans="11:12" ht="17.100000000000001" customHeight="1">
      <c r="K339" s="39"/>
      <c r="L339" s="40"/>
    </row>
    <row r="340" spans="11:12" ht="17.100000000000001" customHeight="1">
      <c r="K340" s="39"/>
      <c r="L340" s="40"/>
    </row>
    <row r="341" spans="11:12" ht="17.100000000000001" customHeight="1">
      <c r="K341" s="39"/>
      <c r="L341" s="40"/>
    </row>
    <row r="342" spans="11:12" ht="17.100000000000001" customHeight="1">
      <c r="K342" s="39"/>
      <c r="L342" s="40"/>
    </row>
    <row r="343" spans="11:12" ht="17.100000000000001" customHeight="1">
      <c r="K343" s="39"/>
      <c r="L343" s="40"/>
    </row>
    <row r="344" spans="11:12" ht="17.100000000000001" customHeight="1">
      <c r="K344" s="39"/>
      <c r="L344" s="40"/>
    </row>
    <row r="345" spans="11:12" ht="17.100000000000001" customHeight="1">
      <c r="K345" s="39"/>
      <c r="L345" s="40"/>
    </row>
    <row r="346" spans="11:12" ht="17.100000000000001" customHeight="1">
      <c r="K346" s="39"/>
      <c r="L346" s="40"/>
    </row>
    <row r="347" spans="11:12" ht="17.100000000000001" customHeight="1">
      <c r="K347" s="39"/>
      <c r="L347" s="40"/>
    </row>
    <row r="348" spans="11:12" ht="17.100000000000001" customHeight="1">
      <c r="K348" s="39"/>
      <c r="L348" s="40"/>
    </row>
    <row r="349" spans="11:12" ht="17.100000000000001" customHeight="1">
      <c r="K349" s="39"/>
      <c r="L349" s="40"/>
    </row>
    <row r="350" spans="11:12" ht="17.100000000000001" customHeight="1">
      <c r="K350" s="39"/>
      <c r="L350" s="40"/>
    </row>
    <row r="351" spans="11:12" ht="17.100000000000001" customHeight="1">
      <c r="K351" s="39"/>
      <c r="L351" s="40"/>
    </row>
    <row r="352" spans="11:12" ht="17.100000000000001" customHeight="1">
      <c r="K352" s="39"/>
      <c r="L352" s="40"/>
    </row>
    <row r="353" spans="11:12" ht="17.100000000000001" customHeight="1">
      <c r="K353" s="39"/>
      <c r="L353" s="40"/>
    </row>
    <row r="354" spans="11:12" ht="17.100000000000001" customHeight="1">
      <c r="K354" s="39"/>
      <c r="L354" s="40"/>
    </row>
    <row r="355" spans="11:12" ht="17.100000000000001" customHeight="1">
      <c r="K355" s="39"/>
      <c r="L355" s="40"/>
    </row>
    <row r="356" spans="11:12" ht="17.100000000000001" customHeight="1">
      <c r="K356" s="39"/>
      <c r="L356" s="40"/>
    </row>
    <row r="357" spans="11:12" ht="17.100000000000001" customHeight="1">
      <c r="K357" s="39"/>
      <c r="L357" s="40"/>
    </row>
    <row r="358" spans="11:12" ht="17.100000000000001" customHeight="1">
      <c r="K358" s="39"/>
      <c r="L358" s="40"/>
    </row>
    <row r="359" spans="11:12" ht="17.100000000000001" customHeight="1">
      <c r="K359" s="39"/>
      <c r="L359" s="40"/>
    </row>
    <row r="360" spans="11:12" ht="17.100000000000001" customHeight="1">
      <c r="K360" s="39"/>
      <c r="L360" s="40"/>
    </row>
    <row r="361" spans="11:12" ht="17.100000000000001" customHeight="1">
      <c r="K361" s="39"/>
      <c r="L361" s="40"/>
    </row>
    <row r="362" spans="11:12" ht="17.100000000000001" customHeight="1">
      <c r="K362" s="39"/>
      <c r="L362" s="40"/>
    </row>
    <row r="363" spans="11:12" ht="17.100000000000001" customHeight="1">
      <c r="K363" s="39"/>
      <c r="L363" s="40"/>
    </row>
    <row r="364" spans="11:12" ht="17.100000000000001" customHeight="1">
      <c r="K364" s="39"/>
      <c r="L364" s="40"/>
    </row>
    <row r="365" spans="11:12" ht="17.100000000000001" customHeight="1">
      <c r="K365" s="39"/>
      <c r="L365" s="40"/>
    </row>
    <row r="366" spans="11:12" ht="17.100000000000001" customHeight="1">
      <c r="K366" s="39"/>
      <c r="L366" s="40"/>
    </row>
    <row r="367" spans="11:12" ht="17.100000000000001" customHeight="1">
      <c r="K367" s="39"/>
      <c r="L367" s="40"/>
    </row>
    <row r="368" spans="11:12" ht="17.100000000000001" customHeight="1">
      <c r="K368" s="39"/>
      <c r="L368" s="40"/>
    </row>
    <row r="369" spans="11:12" ht="17.100000000000001" customHeight="1">
      <c r="K369" s="39"/>
      <c r="L369" s="40"/>
    </row>
    <row r="370" spans="11:12" ht="17.100000000000001" customHeight="1">
      <c r="K370" s="39"/>
      <c r="L370" s="40"/>
    </row>
    <row r="371" spans="11:12" ht="17.100000000000001" customHeight="1">
      <c r="K371" s="39"/>
      <c r="L371" s="40"/>
    </row>
    <row r="372" spans="11:12" ht="17.100000000000001" customHeight="1">
      <c r="K372" s="39"/>
      <c r="L372" s="40"/>
    </row>
    <row r="373" spans="11:12" ht="17.100000000000001" customHeight="1">
      <c r="K373" s="39"/>
      <c r="L373" s="40"/>
    </row>
    <row r="374" spans="11:12" ht="17.100000000000001" customHeight="1">
      <c r="K374" s="39"/>
      <c r="L374" s="40"/>
    </row>
    <row r="375" spans="11:12" ht="17.100000000000001" customHeight="1">
      <c r="K375" s="39"/>
      <c r="L375" s="40"/>
    </row>
    <row r="376" spans="11:12" ht="17.100000000000001" customHeight="1">
      <c r="K376" s="39"/>
      <c r="L376" s="40"/>
    </row>
    <row r="377" spans="11:12" ht="17.100000000000001" customHeight="1">
      <c r="K377" s="39"/>
      <c r="L377" s="40"/>
    </row>
    <row r="378" spans="11:12" ht="17.100000000000001" customHeight="1">
      <c r="K378" s="39"/>
      <c r="L378" s="40"/>
    </row>
    <row r="379" spans="11:12" ht="17.100000000000001" customHeight="1">
      <c r="K379" s="39"/>
      <c r="L379" s="40"/>
    </row>
    <row r="380" spans="11:12" ht="17.100000000000001" customHeight="1">
      <c r="K380" s="39"/>
      <c r="L380" s="40"/>
    </row>
    <row r="381" spans="11:12" ht="17.100000000000001" customHeight="1">
      <c r="K381" s="39"/>
      <c r="L381" s="40"/>
    </row>
    <row r="382" spans="11:12" ht="17.100000000000001" customHeight="1">
      <c r="K382" s="39"/>
      <c r="L382" s="40"/>
    </row>
    <row r="383" spans="11:12" ht="17.100000000000001" customHeight="1">
      <c r="K383" s="39"/>
      <c r="L383" s="40"/>
    </row>
    <row r="384" spans="11:12" ht="17.100000000000001" customHeight="1">
      <c r="K384" s="39"/>
      <c r="L384" s="40"/>
    </row>
    <row r="385" spans="11:12" ht="17.100000000000001" customHeight="1">
      <c r="K385" s="39"/>
      <c r="L385" s="40"/>
    </row>
    <row r="386" spans="11:12" ht="17.100000000000001" customHeight="1">
      <c r="K386" s="39"/>
      <c r="L386" s="40"/>
    </row>
    <row r="387" spans="11:12" ht="17.100000000000001" customHeight="1">
      <c r="K387" s="39"/>
      <c r="L387" s="40"/>
    </row>
    <row r="388" spans="11:12" ht="17.100000000000001" customHeight="1">
      <c r="K388" s="39"/>
      <c r="L388" s="40"/>
    </row>
    <row r="389" spans="11:12" ht="17.100000000000001" customHeight="1">
      <c r="K389" s="39"/>
      <c r="L389" s="40"/>
    </row>
    <row r="390" spans="11:12" ht="17.100000000000001" customHeight="1">
      <c r="K390" s="39"/>
      <c r="L390" s="40"/>
    </row>
    <row r="391" spans="11:12" ht="17.100000000000001" customHeight="1">
      <c r="K391" s="39"/>
      <c r="L391" s="40"/>
    </row>
    <row r="392" spans="11:12" ht="17.100000000000001" customHeight="1">
      <c r="K392" s="39"/>
      <c r="L392" s="40"/>
    </row>
    <row r="393" spans="11:12" ht="17.100000000000001" customHeight="1">
      <c r="K393" s="39"/>
      <c r="L393" s="40"/>
    </row>
    <row r="394" spans="11:12" ht="17.100000000000001" customHeight="1">
      <c r="K394" s="39"/>
      <c r="L394" s="40"/>
    </row>
    <row r="395" spans="11:12" ht="17.100000000000001" customHeight="1">
      <c r="K395" s="39"/>
      <c r="L395" s="40"/>
    </row>
    <row r="396" spans="11:12" ht="17.100000000000001" customHeight="1">
      <c r="K396" s="39"/>
      <c r="L396" s="40"/>
    </row>
    <row r="397" spans="11:12" ht="17.100000000000001" customHeight="1">
      <c r="K397" s="39"/>
      <c r="L397" s="40"/>
    </row>
    <row r="398" spans="11:12" ht="17.100000000000001" customHeight="1">
      <c r="K398" s="39"/>
      <c r="L398" s="40"/>
    </row>
    <row r="399" spans="11:12" ht="17.100000000000001" customHeight="1">
      <c r="K399" s="39"/>
      <c r="L399" s="40"/>
    </row>
    <row r="400" spans="11:12" ht="17.100000000000001" customHeight="1">
      <c r="K400" s="39"/>
      <c r="L400" s="40"/>
    </row>
    <row r="401" spans="11:12" ht="17.100000000000001" customHeight="1">
      <c r="K401" s="39"/>
      <c r="L401" s="40"/>
    </row>
    <row r="402" spans="11:12" ht="17.100000000000001" customHeight="1">
      <c r="K402" s="39"/>
      <c r="L402" s="40"/>
    </row>
    <row r="403" spans="11:12" ht="17.100000000000001" customHeight="1">
      <c r="K403" s="39"/>
      <c r="L403" s="40"/>
    </row>
    <row r="404" spans="11:12" ht="17.100000000000001" customHeight="1">
      <c r="K404" s="39"/>
      <c r="L404" s="40"/>
    </row>
    <row r="405" spans="11:12" ht="17.100000000000001" customHeight="1">
      <c r="K405" s="39"/>
      <c r="L405" s="40"/>
    </row>
    <row r="406" spans="11:12" ht="17.100000000000001" customHeight="1">
      <c r="K406" s="39"/>
      <c r="L406" s="40"/>
    </row>
    <row r="407" spans="11:12" ht="17.100000000000001" customHeight="1">
      <c r="K407" s="39"/>
      <c r="L407" s="40"/>
    </row>
    <row r="408" spans="11:12" ht="17.100000000000001" customHeight="1">
      <c r="K408" s="39"/>
      <c r="L408" s="40"/>
    </row>
    <row r="409" spans="11:12" ht="17.100000000000001" customHeight="1">
      <c r="K409" s="39"/>
      <c r="L409" s="40"/>
    </row>
    <row r="410" spans="11:12" ht="17.100000000000001" customHeight="1">
      <c r="K410" s="39"/>
      <c r="L410" s="40"/>
    </row>
    <row r="411" spans="11:12" ht="17.100000000000001" customHeight="1">
      <c r="K411" s="39"/>
      <c r="L411" s="40"/>
    </row>
    <row r="412" spans="11:12" ht="17.100000000000001" customHeight="1">
      <c r="K412" s="39"/>
      <c r="L412" s="40"/>
    </row>
    <row r="413" spans="11:12" ht="17.100000000000001" customHeight="1">
      <c r="K413" s="39"/>
      <c r="L413" s="40"/>
    </row>
    <row r="414" spans="11:12" ht="17.100000000000001" customHeight="1">
      <c r="K414" s="39"/>
      <c r="L414" s="40"/>
    </row>
    <row r="415" spans="11:12" ht="17.100000000000001" customHeight="1">
      <c r="K415" s="39"/>
      <c r="L415" s="40"/>
    </row>
    <row r="416" spans="11:12" ht="17.100000000000001" customHeight="1">
      <c r="K416" s="39"/>
      <c r="L416" s="40"/>
    </row>
    <row r="417" spans="11:12" ht="17.100000000000001" customHeight="1">
      <c r="K417" s="39"/>
      <c r="L417" s="40"/>
    </row>
    <row r="418" spans="11:12" ht="17.100000000000001" customHeight="1">
      <c r="K418" s="39"/>
      <c r="L418" s="40"/>
    </row>
    <row r="419" spans="11:12" ht="17.100000000000001" customHeight="1">
      <c r="K419" s="39"/>
      <c r="L419" s="40"/>
    </row>
    <row r="420" spans="11:12" ht="17.100000000000001" customHeight="1">
      <c r="K420" s="39"/>
      <c r="L420" s="40"/>
    </row>
    <row r="421" spans="11:12" ht="17.100000000000001" customHeight="1">
      <c r="K421" s="39"/>
      <c r="L421" s="40"/>
    </row>
    <row r="422" spans="11:12" ht="17.100000000000001" customHeight="1">
      <c r="K422" s="39"/>
      <c r="L422" s="40"/>
    </row>
    <row r="423" spans="11:12" ht="17.100000000000001" customHeight="1">
      <c r="K423" s="39"/>
      <c r="L423" s="40"/>
    </row>
    <row r="424" spans="11:12" ht="17.100000000000001" customHeight="1">
      <c r="K424" s="39"/>
      <c r="L424" s="40"/>
    </row>
    <row r="425" spans="11:12" ht="17.100000000000001" customHeight="1">
      <c r="K425" s="39"/>
      <c r="L425" s="40"/>
    </row>
    <row r="426" spans="11:12" ht="17.100000000000001" customHeight="1">
      <c r="K426" s="39"/>
      <c r="L426" s="40"/>
    </row>
    <row r="427" spans="11:12" ht="17.100000000000001" customHeight="1">
      <c r="K427" s="39"/>
      <c r="L427" s="40"/>
    </row>
    <row r="428" spans="11:12" ht="17.100000000000001" customHeight="1">
      <c r="K428" s="39"/>
      <c r="L428" s="40"/>
    </row>
    <row r="429" spans="11:12" ht="17.100000000000001" customHeight="1">
      <c r="K429" s="39"/>
      <c r="L429" s="40"/>
    </row>
    <row r="430" spans="11:12" ht="17.100000000000001" customHeight="1">
      <c r="K430" s="39"/>
      <c r="L430" s="40"/>
    </row>
    <row r="431" spans="11:12" ht="17.100000000000001" customHeight="1">
      <c r="K431" s="39"/>
      <c r="L431" s="40"/>
    </row>
    <row r="432" spans="11:12" ht="17.100000000000001" customHeight="1">
      <c r="K432" s="39"/>
      <c r="L432" s="40"/>
    </row>
    <row r="433" spans="11:12" ht="17.100000000000001" customHeight="1">
      <c r="K433" s="39"/>
      <c r="L433" s="40"/>
    </row>
    <row r="434" spans="11:12" ht="17.100000000000001" customHeight="1">
      <c r="K434" s="39"/>
      <c r="L434" s="40"/>
    </row>
    <row r="435" spans="11:12" ht="17.100000000000001" customHeight="1">
      <c r="K435" s="39"/>
      <c r="L435" s="40"/>
    </row>
    <row r="436" spans="11:12" ht="17.100000000000001" customHeight="1">
      <c r="K436" s="39"/>
      <c r="L436" s="40"/>
    </row>
    <row r="437" spans="11:12" ht="17.100000000000001" customHeight="1">
      <c r="K437" s="39"/>
      <c r="L437" s="40"/>
    </row>
    <row r="438" spans="11:12" ht="17.100000000000001" customHeight="1">
      <c r="K438" s="39"/>
      <c r="L438" s="40"/>
    </row>
    <row r="439" spans="11:12" ht="17.100000000000001" customHeight="1">
      <c r="K439" s="39"/>
      <c r="L439" s="40"/>
    </row>
    <row r="440" spans="11:12" ht="17.100000000000001" customHeight="1">
      <c r="K440" s="39"/>
      <c r="L440" s="40"/>
    </row>
    <row r="441" spans="11:12" ht="17.100000000000001" customHeight="1">
      <c r="K441" s="39"/>
      <c r="L441" s="40"/>
    </row>
    <row r="442" spans="11:12" ht="17.100000000000001" customHeight="1">
      <c r="K442" s="39"/>
      <c r="L442" s="40"/>
    </row>
    <row r="443" spans="11:12" ht="17.100000000000001" customHeight="1">
      <c r="K443" s="39"/>
      <c r="L443" s="40"/>
    </row>
    <row r="444" spans="11:12" ht="17.100000000000001" customHeight="1">
      <c r="K444" s="39"/>
      <c r="L444" s="40"/>
    </row>
    <row r="445" spans="11:12" ht="17.100000000000001" customHeight="1">
      <c r="K445" s="39"/>
      <c r="L445" s="40"/>
    </row>
    <row r="446" spans="11:12" ht="17.100000000000001" customHeight="1">
      <c r="K446" s="39"/>
      <c r="L446" s="40"/>
    </row>
    <row r="447" spans="11:12" ht="17.100000000000001" customHeight="1">
      <c r="K447" s="39"/>
      <c r="L447" s="40"/>
    </row>
    <row r="448" spans="11:12" ht="17.100000000000001" customHeight="1">
      <c r="K448" s="39"/>
      <c r="L448" s="40"/>
    </row>
    <row r="449" spans="11:12" ht="17.100000000000001" customHeight="1">
      <c r="K449" s="39"/>
      <c r="L449" s="40"/>
    </row>
    <row r="450" spans="11:12" ht="17.100000000000001" customHeight="1">
      <c r="K450" s="39"/>
      <c r="L450" s="40"/>
    </row>
    <row r="451" spans="11:12" ht="17.100000000000001" customHeight="1">
      <c r="K451" s="39"/>
      <c r="L451" s="40"/>
    </row>
    <row r="452" spans="11:12" ht="17.100000000000001" customHeight="1">
      <c r="K452" s="39"/>
      <c r="L452" s="40"/>
    </row>
    <row r="453" spans="11:12" ht="17.100000000000001" customHeight="1">
      <c r="K453" s="39"/>
      <c r="L453" s="40"/>
    </row>
    <row r="454" spans="11:12" ht="17.100000000000001" customHeight="1">
      <c r="K454" s="39"/>
      <c r="L454" s="40"/>
    </row>
    <row r="455" spans="11:12" ht="17.100000000000001" customHeight="1">
      <c r="K455" s="39"/>
      <c r="L455" s="40"/>
    </row>
    <row r="456" spans="11:12" ht="17.100000000000001" customHeight="1">
      <c r="K456" s="39"/>
      <c r="L456" s="40"/>
    </row>
    <row r="457" spans="11:12" ht="17.100000000000001" customHeight="1">
      <c r="K457" s="39"/>
      <c r="L457" s="40"/>
    </row>
    <row r="458" spans="11:12" ht="17.100000000000001" customHeight="1">
      <c r="K458" s="39"/>
      <c r="L458" s="40"/>
    </row>
    <row r="459" spans="11:12" ht="17.100000000000001" customHeight="1">
      <c r="K459" s="39"/>
      <c r="L459" s="40"/>
    </row>
    <row r="460" spans="11:12" ht="17.100000000000001" customHeight="1">
      <c r="K460" s="39"/>
      <c r="L460" s="40"/>
    </row>
    <row r="461" spans="11:12" ht="17.100000000000001" customHeight="1">
      <c r="K461" s="39"/>
      <c r="L461" s="40"/>
    </row>
    <row r="462" spans="11:12" ht="17.100000000000001" customHeight="1">
      <c r="K462" s="39"/>
      <c r="L462" s="40"/>
    </row>
    <row r="463" spans="11:12" ht="17.100000000000001" customHeight="1">
      <c r="K463" s="39"/>
      <c r="L463" s="40"/>
    </row>
    <row r="464" spans="11:12" ht="17.100000000000001" customHeight="1">
      <c r="K464" s="39"/>
      <c r="L464" s="40"/>
    </row>
    <row r="465" spans="11:12" ht="17.100000000000001" customHeight="1">
      <c r="K465" s="39"/>
      <c r="L465" s="40"/>
    </row>
    <row r="466" spans="11:12" ht="17.100000000000001" customHeight="1">
      <c r="K466" s="39"/>
      <c r="L466" s="40"/>
    </row>
    <row r="467" spans="11:12" ht="17.100000000000001" customHeight="1">
      <c r="K467" s="39"/>
      <c r="L467" s="40"/>
    </row>
    <row r="468" spans="11:12" ht="17.100000000000001" customHeight="1">
      <c r="K468" s="39"/>
      <c r="L468" s="40"/>
    </row>
    <row r="469" spans="11:12" ht="17.100000000000001" customHeight="1">
      <c r="K469" s="39"/>
      <c r="L469" s="40"/>
    </row>
    <row r="470" spans="11:12" ht="17.100000000000001" customHeight="1">
      <c r="K470" s="39"/>
      <c r="L470" s="40"/>
    </row>
    <row r="471" spans="11:12" ht="17.100000000000001" customHeight="1">
      <c r="K471" s="39"/>
      <c r="L471" s="40"/>
    </row>
    <row r="472" spans="11:12" ht="17.100000000000001" customHeight="1">
      <c r="K472" s="39"/>
      <c r="L472" s="40"/>
    </row>
    <row r="473" spans="11:12" ht="17.100000000000001" customHeight="1">
      <c r="K473" s="39"/>
      <c r="L473" s="40"/>
    </row>
    <row r="474" spans="11:12" ht="17.100000000000001" customHeight="1">
      <c r="K474" s="39"/>
      <c r="L474" s="40"/>
    </row>
    <row r="475" spans="11:12" ht="17.100000000000001" customHeight="1">
      <c r="K475" s="39"/>
      <c r="L475" s="40"/>
    </row>
    <row r="476" spans="11:12" ht="17.100000000000001" customHeight="1">
      <c r="K476" s="39"/>
      <c r="L476" s="40"/>
    </row>
    <row r="477" spans="11:12" ht="17.100000000000001" customHeight="1">
      <c r="K477" s="39"/>
      <c r="L477" s="40"/>
    </row>
    <row r="478" spans="11:12" ht="17.100000000000001" customHeight="1">
      <c r="K478" s="39"/>
      <c r="L478" s="40"/>
    </row>
    <row r="479" spans="11:12" ht="17.100000000000001" customHeight="1">
      <c r="K479" s="39"/>
      <c r="L479" s="40"/>
    </row>
    <row r="480" spans="11:12" ht="17.100000000000001" customHeight="1">
      <c r="K480" s="39"/>
      <c r="L480" s="40"/>
    </row>
    <row r="481" spans="11:12" ht="17.100000000000001" customHeight="1">
      <c r="K481" s="39"/>
      <c r="L481" s="40"/>
    </row>
    <row r="482" spans="11:12" ht="17.100000000000001" customHeight="1">
      <c r="K482" s="39"/>
      <c r="L482" s="40"/>
    </row>
    <row r="483" spans="11:12" ht="17.100000000000001" customHeight="1">
      <c r="K483" s="39"/>
      <c r="L483" s="40"/>
    </row>
    <row r="484" spans="11:12" ht="17.100000000000001" customHeight="1">
      <c r="K484" s="39"/>
      <c r="L484" s="40"/>
    </row>
    <row r="485" spans="11:12" ht="17.100000000000001" customHeight="1">
      <c r="K485" s="39"/>
      <c r="L485" s="40"/>
    </row>
    <row r="486" spans="11:12" ht="17.100000000000001" customHeight="1">
      <c r="K486" s="39"/>
      <c r="L486" s="40"/>
    </row>
    <row r="487" spans="11:12" ht="17.100000000000001" customHeight="1">
      <c r="K487" s="39"/>
      <c r="L487" s="40"/>
    </row>
    <row r="488" spans="11:12" ht="17.100000000000001" customHeight="1">
      <c r="K488" s="39"/>
      <c r="L488" s="40"/>
    </row>
    <row r="489" spans="11:12" ht="17.100000000000001" customHeight="1">
      <c r="K489" s="39"/>
      <c r="L489" s="40"/>
    </row>
    <row r="490" spans="11:12" ht="17.100000000000001" customHeight="1">
      <c r="K490" s="39"/>
      <c r="L490" s="40"/>
    </row>
    <row r="491" spans="11:12" ht="17.100000000000001" customHeight="1">
      <c r="K491" s="39"/>
      <c r="L491" s="40"/>
    </row>
    <row r="492" spans="11:12" ht="17.100000000000001" customHeight="1">
      <c r="K492" s="39"/>
      <c r="L492" s="40"/>
    </row>
    <row r="493" spans="11:12" ht="17.100000000000001" customHeight="1">
      <c r="K493" s="39"/>
      <c r="L493" s="40"/>
    </row>
    <row r="494" spans="11:12" ht="17.100000000000001" customHeight="1">
      <c r="K494" s="39"/>
      <c r="L494" s="40"/>
    </row>
    <row r="495" spans="11:12" ht="17.100000000000001" customHeight="1">
      <c r="K495" s="39"/>
      <c r="L495" s="40"/>
    </row>
    <row r="496" spans="11:12" ht="17.100000000000001" customHeight="1">
      <c r="K496" s="39"/>
      <c r="L496" s="40"/>
    </row>
    <row r="497" spans="11:12" ht="17.100000000000001" customHeight="1">
      <c r="K497" s="39"/>
      <c r="L497" s="40"/>
    </row>
    <row r="498" spans="11:12" ht="17.100000000000001" customHeight="1">
      <c r="K498" s="39"/>
      <c r="L498" s="40"/>
    </row>
    <row r="499" spans="11:12" ht="17.100000000000001" customHeight="1">
      <c r="K499" s="39"/>
      <c r="L499" s="40"/>
    </row>
    <row r="500" spans="11:12" ht="17.100000000000001" customHeight="1">
      <c r="K500" s="39"/>
      <c r="L500" s="40"/>
    </row>
    <row r="501" spans="11:12" ht="17.100000000000001" customHeight="1">
      <c r="K501" s="39"/>
      <c r="L501" s="40"/>
    </row>
    <row r="502" spans="11:12" ht="17.100000000000001" customHeight="1">
      <c r="K502" s="39"/>
      <c r="L502" s="40"/>
    </row>
    <row r="503" spans="11:12" ht="17.100000000000001" customHeight="1">
      <c r="K503" s="39"/>
      <c r="L503" s="40"/>
    </row>
    <row r="504" spans="11:12" ht="17.100000000000001" customHeight="1">
      <c r="K504" s="39"/>
      <c r="L504" s="40"/>
    </row>
    <row r="505" spans="11:12" ht="17.100000000000001" customHeight="1">
      <c r="K505" s="39"/>
      <c r="L505" s="40"/>
    </row>
    <row r="506" spans="11:12" ht="17.100000000000001" customHeight="1">
      <c r="K506" s="39"/>
      <c r="L506" s="40"/>
    </row>
    <row r="507" spans="11:12" ht="17.100000000000001" customHeight="1">
      <c r="K507" s="39"/>
      <c r="L507" s="40"/>
    </row>
    <row r="508" spans="11:12" ht="17.100000000000001" customHeight="1">
      <c r="K508" s="39"/>
      <c r="L508" s="40"/>
    </row>
    <row r="509" spans="11:12" ht="17.100000000000001" customHeight="1">
      <c r="K509" s="39"/>
      <c r="L509" s="40"/>
    </row>
    <row r="510" spans="11:12" ht="17.100000000000001" customHeight="1">
      <c r="K510" s="39"/>
      <c r="L510" s="40"/>
    </row>
    <row r="511" spans="11:12" ht="17.100000000000001" customHeight="1">
      <c r="K511" s="39"/>
      <c r="L511" s="40"/>
    </row>
    <row r="512" spans="11:12" ht="17.100000000000001" customHeight="1">
      <c r="K512" s="39"/>
      <c r="L512" s="40"/>
    </row>
    <row r="513" spans="11:12" ht="17.100000000000001" customHeight="1">
      <c r="K513" s="39"/>
      <c r="L513" s="40"/>
    </row>
    <row r="514" spans="11:12" ht="17.100000000000001" customHeight="1">
      <c r="K514" s="39"/>
      <c r="L514" s="40"/>
    </row>
    <row r="515" spans="11:12" ht="17.100000000000001" customHeight="1">
      <c r="K515" s="39"/>
      <c r="L515" s="40"/>
    </row>
    <row r="516" spans="11:12" ht="17.100000000000001" customHeight="1">
      <c r="K516" s="39"/>
      <c r="L516" s="40"/>
    </row>
    <row r="517" spans="11:12" ht="17.100000000000001" customHeight="1">
      <c r="K517" s="39"/>
      <c r="L517" s="40"/>
    </row>
    <row r="518" spans="11:12" ht="17.100000000000001" customHeight="1">
      <c r="K518" s="39"/>
      <c r="L518" s="40"/>
    </row>
    <row r="519" spans="11:12" ht="17.100000000000001" customHeight="1">
      <c r="K519" s="39"/>
      <c r="L519" s="40"/>
    </row>
    <row r="520" spans="11:12" ht="17.100000000000001" customHeight="1">
      <c r="K520" s="39"/>
      <c r="L520" s="40"/>
    </row>
    <row r="521" spans="11:12" ht="17.100000000000001" customHeight="1">
      <c r="K521" s="39"/>
      <c r="L521" s="40"/>
    </row>
    <row r="522" spans="11:12" ht="17.100000000000001" customHeight="1">
      <c r="K522" s="39"/>
      <c r="L522" s="40"/>
    </row>
    <row r="523" spans="11:12" ht="17.100000000000001" customHeight="1">
      <c r="K523" s="39"/>
      <c r="L523" s="40"/>
    </row>
    <row r="524" spans="11:12" ht="17.100000000000001" customHeight="1">
      <c r="K524" s="39"/>
      <c r="L524" s="40"/>
    </row>
    <row r="525" spans="11:12" ht="17.100000000000001" customHeight="1">
      <c r="K525" s="39"/>
      <c r="L525" s="40"/>
    </row>
    <row r="526" spans="11:12" ht="17.100000000000001" customHeight="1">
      <c r="K526" s="39"/>
      <c r="L526" s="40"/>
    </row>
    <row r="527" spans="11:12" ht="17.100000000000001" customHeight="1">
      <c r="K527" s="39"/>
      <c r="L527" s="40"/>
    </row>
    <row r="528" spans="11:12" ht="17.100000000000001" customHeight="1">
      <c r="K528" s="39"/>
      <c r="L528" s="40"/>
    </row>
    <row r="529" spans="11:12" ht="17.100000000000001" customHeight="1">
      <c r="K529" s="39"/>
      <c r="L529" s="40"/>
    </row>
    <row r="530" spans="11:12" ht="17.100000000000001" customHeight="1">
      <c r="K530" s="39"/>
      <c r="L530" s="40"/>
    </row>
    <row r="531" spans="11:12" ht="17.100000000000001" customHeight="1">
      <c r="K531" s="39"/>
      <c r="L531" s="40"/>
    </row>
    <row r="532" spans="11:12" ht="17.100000000000001" customHeight="1">
      <c r="K532" s="39"/>
      <c r="L532" s="40"/>
    </row>
    <row r="533" spans="11:12" ht="17.100000000000001" customHeight="1">
      <c r="K533" s="39"/>
      <c r="L533" s="40"/>
    </row>
    <row r="534" spans="11:12" ht="17.100000000000001" customHeight="1">
      <c r="K534" s="39"/>
      <c r="L534" s="40"/>
    </row>
    <row r="535" spans="11:12" ht="17.100000000000001" customHeight="1">
      <c r="K535" s="39"/>
      <c r="L535" s="40"/>
    </row>
    <row r="536" spans="11:12" ht="17.100000000000001" customHeight="1">
      <c r="K536" s="39"/>
      <c r="L536" s="40"/>
    </row>
    <row r="537" spans="11:12" ht="17.100000000000001" customHeight="1">
      <c r="K537" s="39"/>
      <c r="L537" s="40"/>
    </row>
    <row r="538" spans="11:12" ht="17.100000000000001" customHeight="1">
      <c r="K538" s="39"/>
      <c r="L538" s="40"/>
    </row>
    <row r="539" spans="11:12" ht="17.100000000000001" customHeight="1">
      <c r="K539" s="39"/>
      <c r="L539" s="40"/>
    </row>
    <row r="540" spans="11:12" ht="17.100000000000001" customHeight="1">
      <c r="K540" s="39"/>
      <c r="L540" s="40"/>
    </row>
    <row r="541" spans="11:12" ht="17.100000000000001" customHeight="1">
      <c r="K541" s="39"/>
      <c r="L541" s="40"/>
    </row>
    <row r="542" spans="11:12" ht="17.100000000000001" customHeight="1">
      <c r="K542" s="39"/>
      <c r="L542" s="40"/>
    </row>
    <row r="543" spans="11:12" ht="17.100000000000001" customHeight="1">
      <c r="K543" s="39"/>
      <c r="L543" s="40"/>
    </row>
    <row r="544" spans="11:12" ht="17.100000000000001" customHeight="1">
      <c r="K544" s="39"/>
      <c r="L544" s="40"/>
    </row>
    <row r="545" spans="11:12" ht="17.100000000000001" customHeight="1">
      <c r="K545" s="39"/>
      <c r="L545" s="40"/>
    </row>
    <row r="546" spans="11:12" ht="17.100000000000001" customHeight="1">
      <c r="K546" s="39"/>
      <c r="L546" s="40"/>
    </row>
    <row r="547" spans="11:12" ht="17.100000000000001" customHeight="1">
      <c r="K547" s="39"/>
      <c r="L547" s="40"/>
    </row>
    <row r="548" spans="11:12" ht="17.100000000000001" customHeight="1">
      <c r="K548" s="39"/>
      <c r="L548" s="40"/>
    </row>
    <row r="549" spans="11:12" ht="17.100000000000001" customHeight="1">
      <c r="K549" s="39"/>
      <c r="L549" s="40"/>
    </row>
    <row r="550" spans="11:12" ht="17.100000000000001" customHeight="1">
      <c r="K550" s="39"/>
      <c r="L550" s="40"/>
    </row>
    <row r="551" spans="11:12" ht="17.100000000000001" customHeight="1">
      <c r="K551" s="39"/>
      <c r="L551" s="40"/>
    </row>
    <row r="552" spans="11:12" ht="17.100000000000001" customHeight="1">
      <c r="K552" s="39"/>
      <c r="L552" s="40"/>
    </row>
    <row r="553" spans="11:12" ht="17.100000000000001" customHeight="1">
      <c r="K553" s="39"/>
      <c r="L553" s="40"/>
    </row>
    <row r="554" spans="11:12" ht="17.100000000000001" customHeight="1">
      <c r="K554" s="39"/>
      <c r="L554" s="40"/>
    </row>
    <row r="555" spans="11:12" ht="17.100000000000001" customHeight="1">
      <c r="K555" s="39"/>
      <c r="L555" s="40"/>
    </row>
    <row r="556" spans="11:12" ht="17.100000000000001" customHeight="1">
      <c r="K556" s="39"/>
      <c r="L556" s="40"/>
    </row>
    <row r="557" spans="11:12" ht="17.100000000000001" customHeight="1">
      <c r="K557" s="39"/>
      <c r="L557" s="40"/>
    </row>
    <row r="558" spans="11:12" ht="17.100000000000001" customHeight="1">
      <c r="K558" s="39"/>
      <c r="L558" s="40"/>
    </row>
    <row r="559" spans="11:12" ht="17.100000000000001" customHeight="1">
      <c r="K559" s="39"/>
      <c r="L559" s="40"/>
    </row>
    <row r="560" spans="11:12" ht="17.100000000000001" customHeight="1">
      <c r="K560" s="39"/>
      <c r="L560" s="40"/>
    </row>
  </sheetData>
  <sheetProtection insertRows="0"/>
  <autoFilter ref="B2:L81" xr:uid="{00000000-0001-0000-0100-000000000000}"/>
  <phoneticPr fontId="5" type="noConversion"/>
  <dataValidations xWindow="955" yWindow="250" count="14">
    <dataValidation allowBlank="1" showInputMessage="1" showErrorMessage="1" promptTitle="실_이름" prompt="zone 이름을 자유롭게 입력 (예, 도면에 기재된 실 명 등)" sqref="D2" xr:uid="{00000000-0002-0000-0100-000000000000}"/>
    <dataValidation allowBlank="1" showInputMessage="1" showErrorMessage="1" promptTitle="실_층" prompt="0이 아닌 정수로 입력_x000a_지상층: 1, 2, ..._x000a_지하층: -1, -2, ..." sqref="B2" xr:uid="{00000000-0002-0000-0100-000001000000}"/>
    <dataValidation allowBlank="1" showInputMessage="1" showErrorMessage="1" promptTitle="실_용도프로필" prompt="목록 내에서 선택" sqref="E2" xr:uid="{00000000-0002-0000-0100-000002000000}"/>
    <dataValidation allowBlank="1" showErrorMessage="1" prompt="_x000a_" sqref="G2" xr:uid="{00000000-0002-0000-0100-000003000000}"/>
    <dataValidation allowBlank="1" showInputMessage="1" showErrorMessage="1" promptTitle="실_난방공급설비" prompt="공급설비탭에서 입력한 설비명을 동일하게 입력" sqref="H2" xr:uid="{00000000-0002-0000-0100-000004000000}"/>
    <dataValidation allowBlank="1" showInputMessage="1" showErrorMessage="1" promptTitle="실_냉방공급설비" prompt="공급설비탭에서 입력한 설비명을 동일하게 입력" sqref="I2" xr:uid="{00000000-0002-0000-0100-000005000000}"/>
    <dataValidation type="custom" operator="notBetween" allowBlank="1" showInputMessage="1" showErrorMessage="1" errorTitle="층" error="층수는 0이 아닌 정수로 입력하여야 합니다." sqref="B3:B1048576" xr:uid="{00000000-0002-0000-0100-000006000000}">
      <formula1>AND(ISNUMBER(INDIRECT("RC",FALSE)), INT(INDIRECT("RC",FALSE))=INDIRECT("RC",FALSE), INDIRECT("RC",FALSE)&lt;&gt;0)</formula1>
    </dataValidation>
    <dataValidation type="decimal" operator="greaterThanOrEqual" allowBlank="1" showInputMessage="1" showErrorMessage="1" errorTitle="조명밀도" error="조명밀도는 0 이상의 값으로 입력하여야 합니다." sqref="F3:F1048576" xr:uid="{00000000-0002-0000-0100-000007000000}">
      <formula1>0</formula1>
    </dataValidation>
    <dataValidation type="decimal" allowBlank="1" showInputMessage="1" showErrorMessage="1" errorTitle="침기율" error="침기율은 0이상의 값으로 입력하여야 합니다._x000a_(ACH@50)" sqref="G3:G1048576" xr:uid="{00000000-0002-0000-0100-000009000000}">
      <formula1>0</formula1>
      <formula2>100</formula2>
    </dataValidation>
    <dataValidation type="decimal" operator="greaterThan" allowBlank="1" showInputMessage="1" showErrorMessage="1" errorTitle="실 천정고" error="실 천정고는 0 초과의 값을 가져야 합니다." sqref="C3:C1048576" xr:uid="{00000000-0002-0000-0100-00000A000000}">
      <formula1>0</formula1>
    </dataValidation>
    <dataValidation type="custom" allowBlank="1" showInputMessage="1" showErrorMessage="1" errorTitle="실 이름" error="실 이름이 중복되었습니다. 다른 이름을 입력하세요." sqref="D3:D1048576" xr:uid="{00000000-0002-0000-0100-00000C000000}">
      <formula1>COUNTIF($D$3:$D$579, D3)=1</formula1>
    </dataValidation>
    <dataValidation type="list" allowBlank="1" showInputMessage="1" showErrorMessage="1" sqref="E3:E1048576" xr:uid="{D83ED099-5CDF-4DAA-9A51-C04709C47A54}">
      <formula1>용도프로필_목록</formula1>
    </dataValidation>
    <dataValidation type="list" allowBlank="1" showInputMessage="1" showErrorMessage="1" sqref="N3" xr:uid="{FC7FBABA-2280-43D3-ABEE-A2F41EA85CA9}">
      <formula1>"ECO2, ECO2-OD, 성적서, 계획도, 장비일람표, 재검수 필요"</formula1>
    </dataValidation>
    <dataValidation type="list" allowBlank="1" showInputMessage="1" showErrorMessage="1" sqref="O3" xr:uid="{ADA592AB-B0E0-4054-BC05-ED4AFE703F9E}">
      <formula1>"건축물대장"</formula1>
    </dataValidation>
  </dataValidations>
  <pageMargins left="0.7" right="0.7" top="0.75" bottom="0.75" header="0.3" footer="0.3"/>
  <pageSetup paperSize="9" orientation="portrait"/>
  <ignoredErrors>
    <ignoredError sqref="H18:J38 H39:J81 J9 H3:J8 H10:J17 H9:I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B1:Q400"/>
  <sheetViews>
    <sheetView zoomScaleNormal="100" workbookViewId="0">
      <pane ySplit="2" topLeftCell="A3" activePane="bottomLeft" state="frozen"/>
      <selection pane="bottomLeft" activeCell="C46" sqref="C46"/>
    </sheetView>
  </sheetViews>
  <sheetFormatPr defaultColWidth="12.5703125" defaultRowHeight="18" customHeight="1"/>
  <cols>
    <col min="1" max="1" width="1.42578125" style="15" customWidth="1"/>
    <col min="2" max="3" width="27.85546875" style="21" customWidth="1"/>
    <col min="4" max="4" width="14.85546875" style="15" customWidth="1"/>
    <col min="5" max="5" width="17" style="15" customWidth="1"/>
    <col min="6" max="6" width="14.7109375" style="15" customWidth="1"/>
    <col min="7" max="7" width="13.28515625" style="15" customWidth="1"/>
    <col min="8" max="8" width="22.7109375" style="15" customWidth="1"/>
    <col min="9" max="9" width="22.28515625" style="15" customWidth="1"/>
    <col min="10" max="10" width="23.7109375" style="15" customWidth="1"/>
    <col min="11" max="11" width="13.85546875" style="21" customWidth="1"/>
    <col min="12" max="13" width="12.42578125" style="47" customWidth="1"/>
    <col min="14" max="14" width="3.28515625" style="15" customWidth="1"/>
    <col min="15" max="27" width="15.5703125" style="15" customWidth="1"/>
    <col min="28" max="28" width="12.5703125" style="15" customWidth="1"/>
    <col min="29" max="16384" width="12.5703125" style="15"/>
  </cols>
  <sheetData>
    <row r="1" spans="2:17" ht="6" customHeight="1">
      <c r="L1" s="45"/>
      <c r="M1" s="45"/>
    </row>
    <row r="2" spans="2:17" s="10" customFormat="1" ht="18" customHeight="1">
      <c r="B2" s="8" t="s">
        <v>8</v>
      </c>
      <c r="C2" s="12" t="s">
        <v>24</v>
      </c>
      <c r="D2" s="8" t="s">
        <v>25</v>
      </c>
      <c r="E2" s="12" t="s">
        <v>26</v>
      </c>
      <c r="F2" s="30" t="s">
        <v>27</v>
      </c>
      <c r="G2" s="12" t="s">
        <v>28</v>
      </c>
      <c r="H2" s="8" t="s">
        <v>29</v>
      </c>
      <c r="I2" s="12" t="s">
        <v>30</v>
      </c>
      <c r="J2" s="12" t="s">
        <v>31</v>
      </c>
      <c r="K2" s="12" t="s">
        <v>460</v>
      </c>
      <c r="L2" s="8" t="s">
        <v>32</v>
      </c>
      <c r="M2" s="3" t="s">
        <v>33</v>
      </c>
      <c r="O2" s="67" t="s">
        <v>583</v>
      </c>
      <c r="P2" s="67" t="s">
        <v>584</v>
      </c>
      <c r="Q2" s="67" t="s">
        <v>585</v>
      </c>
    </row>
    <row r="3" spans="2:17" ht="18" customHeight="1">
      <c r="B3" s="6"/>
      <c r="C3" s="6"/>
      <c r="D3" s="6"/>
      <c r="E3" s="6"/>
      <c r="F3" s="6"/>
      <c r="G3" s="6"/>
      <c r="H3" s="6"/>
      <c r="I3" s="31"/>
      <c r="J3" s="31"/>
      <c r="K3" s="61" t="str">
        <f>IF(C3="","",_xlfn.XLOOKUP(C3,실!$D:$D,실!$B:$B,""))</f>
        <v/>
      </c>
      <c r="L3" s="46">
        <f>COUNTIFS(개구부!C:C, B3, 개구부!D:D, "window")</f>
        <v>0</v>
      </c>
      <c r="M3" s="46">
        <f>COUNTIFS(개구부!C:C, B3, 개구부!D:D, "&lt;&gt;window")</f>
        <v>0</v>
      </c>
      <c r="O3" s="94"/>
      <c r="P3" s="94">
        <f>구조체_면!O3</f>
        <v>0</v>
      </c>
      <c r="Q3" s="94"/>
    </row>
    <row r="4" spans="2:17" ht="18" customHeight="1">
      <c r="B4" s="6"/>
      <c r="C4" s="6"/>
      <c r="D4" s="6"/>
      <c r="E4" s="6"/>
      <c r="F4" s="6"/>
      <c r="G4" s="6"/>
      <c r="H4" s="6"/>
      <c r="I4" s="31"/>
      <c r="J4" s="31"/>
      <c r="K4" s="61" t="str">
        <f>IF(C4="","",_xlfn.XLOOKUP(C4,실!$D:$D,실!$B:$B,""))</f>
        <v/>
      </c>
      <c r="L4" s="46">
        <f>COUNTIFS(개구부!C:C, B4, 개구부!D:D, "window")</f>
        <v>0</v>
      </c>
      <c r="M4" s="46">
        <f>COUNTIFS(개구부!C:C, B4, 개구부!D:D, "&lt;&gt;window")</f>
        <v>0</v>
      </c>
    </row>
    <row r="5" spans="2:17" ht="18" customHeight="1">
      <c r="B5" s="6"/>
      <c r="C5" s="6"/>
      <c r="D5" s="6"/>
      <c r="E5" s="6"/>
      <c r="F5" s="6"/>
      <c r="G5" s="6"/>
      <c r="H5" s="6"/>
      <c r="I5" s="31"/>
      <c r="J5" s="31"/>
      <c r="K5" s="61" t="str">
        <f>IF(C5="","",_xlfn.XLOOKUP(C5,실!$D:$D,실!$B:$B,""))</f>
        <v/>
      </c>
      <c r="L5" s="46">
        <f>COUNTIFS(개구부!C:C, B5, 개구부!D:D, "window")</f>
        <v>0</v>
      </c>
      <c r="M5" s="46">
        <f>COUNTIFS(개구부!C:C, B5, 개구부!D:D, "&lt;&gt;window")</f>
        <v>0</v>
      </c>
    </row>
    <row r="6" spans="2:17" ht="18" customHeight="1">
      <c r="B6" s="6"/>
      <c r="C6" s="6"/>
      <c r="D6" s="6"/>
      <c r="E6" s="6"/>
      <c r="F6" s="6"/>
      <c r="G6" s="6"/>
      <c r="H6" s="6"/>
      <c r="I6" s="31"/>
      <c r="J6" s="31"/>
      <c r="K6" s="61" t="str">
        <f>IF(C6="","",_xlfn.XLOOKUP(C6,실!$D:$D,실!$B:$B,""))</f>
        <v/>
      </c>
      <c r="L6" s="46">
        <f>COUNTIFS(개구부!C:C, B6, 개구부!D:D, "window")</f>
        <v>0</v>
      </c>
      <c r="M6" s="46">
        <f>COUNTIFS(개구부!C:C, B6, 개구부!D:D, "&lt;&gt;window")</f>
        <v>0</v>
      </c>
    </row>
    <row r="7" spans="2:17" ht="18" customHeight="1">
      <c r="B7" s="6"/>
      <c r="C7" s="6"/>
      <c r="D7" s="6"/>
      <c r="E7" s="6"/>
      <c r="F7" s="6"/>
      <c r="G7" s="6"/>
      <c r="H7" s="6"/>
      <c r="I7" s="31"/>
      <c r="J7" s="31"/>
      <c r="K7" s="61" t="str">
        <f>IF(C7="","",_xlfn.XLOOKUP(C7,실!$D:$D,실!$B:$B,""))</f>
        <v/>
      </c>
      <c r="L7" s="46">
        <f>COUNTIFS(개구부!C:C, B7, 개구부!D:D, "window")</f>
        <v>0</v>
      </c>
      <c r="M7" s="46">
        <f>COUNTIFS(개구부!C:C, B7, 개구부!D:D, "&lt;&gt;window")</f>
        <v>0</v>
      </c>
    </row>
    <row r="8" spans="2:17" ht="18" customHeight="1">
      <c r="B8" s="6"/>
      <c r="C8" s="6"/>
      <c r="D8" s="6"/>
      <c r="E8" s="6"/>
      <c r="F8" s="6"/>
      <c r="G8" s="6"/>
      <c r="H8" s="6"/>
      <c r="I8" s="31"/>
      <c r="J8" s="31"/>
      <c r="K8" s="61" t="str">
        <f>IF(C8="","",_xlfn.XLOOKUP(C8,실!$D:$D,실!$B:$B,""))</f>
        <v/>
      </c>
      <c r="L8" s="46">
        <f>COUNTIFS(개구부!C:C, B8, 개구부!D:D, "window")</f>
        <v>0</v>
      </c>
      <c r="M8" s="46">
        <f>COUNTIFS(개구부!C:C, B8, 개구부!D:D, "&lt;&gt;window")</f>
        <v>0</v>
      </c>
    </row>
    <row r="9" spans="2:17" ht="18" customHeight="1">
      <c r="B9" s="6"/>
      <c r="C9" s="6"/>
      <c r="D9" s="6"/>
      <c r="E9" s="6"/>
      <c r="F9" s="6"/>
      <c r="G9" s="6"/>
      <c r="H9" s="6"/>
      <c r="I9" s="31"/>
      <c r="J9" s="31"/>
      <c r="K9" s="61" t="str">
        <f>IF(C9="","",_xlfn.XLOOKUP(C9,실!$D:$D,실!$B:$B,""))</f>
        <v/>
      </c>
      <c r="L9" s="46">
        <f>COUNTIFS(개구부!C:C, B9, 개구부!D:D, "window")</f>
        <v>0</v>
      </c>
      <c r="M9" s="46">
        <f>COUNTIFS(개구부!C:C, B9, 개구부!D:D, "&lt;&gt;window")</f>
        <v>0</v>
      </c>
    </row>
    <row r="10" spans="2:17" ht="18" customHeight="1">
      <c r="B10" s="6"/>
      <c r="C10" s="6"/>
      <c r="D10" s="6"/>
      <c r="E10" s="6"/>
      <c r="F10" s="6"/>
      <c r="G10" s="6"/>
      <c r="H10" s="6"/>
      <c r="I10" s="31"/>
      <c r="J10" s="31"/>
      <c r="K10" s="61" t="str">
        <f>IF(C10="","",_xlfn.XLOOKUP(C10,실!$D:$D,실!$B:$B,""))</f>
        <v/>
      </c>
      <c r="L10" s="46">
        <f>COUNTIFS(개구부!C:C, B10, 개구부!D:D, "window")</f>
        <v>0</v>
      </c>
      <c r="M10" s="46">
        <f>COUNTIFS(개구부!C:C, B10, 개구부!D:D, "&lt;&gt;window")</f>
        <v>0</v>
      </c>
    </row>
    <row r="11" spans="2:17" ht="18" customHeight="1">
      <c r="B11" s="6"/>
      <c r="C11" s="6"/>
      <c r="D11" s="6"/>
      <c r="E11" s="6"/>
      <c r="F11" s="6"/>
      <c r="G11" s="6"/>
      <c r="H11" s="6"/>
      <c r="I11" s="31"/>
      <c r="J11" s="31"/>
      <c r="K11" s="61" t="str">
        <f>IF(C11="","",_xlfn.XLOOKUP(C11,실!$D:$D,실!$B:$B,""))</f>
        <v/>
      </c>
      <c r="L11" s="46">
        <f>COUNTIFS(개구부!C:C, B11, 개구부!D:D, "window")</f>
        <v>0</v>
      </c>
      <c r="M11" s="46">
        <f>COUNTIFS(개구부!C:C, B11, 개구부!D:D, "&lt;&gt;window")</f>
        <v>0</v>
      </c>
    </row>
    <row r="12" spans="2:17" ht="18" customHeight="1">
      <c r="B12" s="6"/>
      <c r="C12" s="6"/>
      <c r="D12" s="6"/>
      <c r="E12" s="6"/>
      <c r="F12" s="6"/>
      <c r="G12" s="6"/>
      <c r="H12" s="6"/>
      <c r="I12" s="31"/>
      <c r="J12" s="31"/>
      <c r="K12" s="61" t="str">
        <f>IF(C12="","",_xlfn.XLOOKUP(C12,실!$D:$D,실!$B:$B,""))</f>
        <v/>
      </c>
      <c r="L12" s="46">
        <f>COUNTIFS(개구부!C:C, B12, 개구부!D:D, "window")</f>
        <v>0</v>
      </c>
      <c r="M12" s="46">
        <f>COUNTIFS(개구부!C:C, B12, 개구부!D:D, "&lt;&gt;window")</f>
        <v>0</v>
      </c>
    </row>
    <row r="13" spans="2:17" ht="18" customHeight="1">
      <c r="B13" s="6"/>
      <c r="C13" s="6"/>
      <c r="D13" s="6"/>
      <c r="E13" s="6"/>
      <c r="F13" s="6"/>
      <c r="G13" s="6"/>
      <c r="H13" s="6"/>
      <c r="I13" s="31"/>
      <c r="J13" s="31"/>
      <c r="K13" s="61" t="str">
        <f>IF(C13="","",_xlfn.XLOOKUP(C13,실!$D:$D,실!$B:$B,""))</f>
        <v/>
      </c>
      <c r="L13" s="46">
        <f>COUNTIFS(개구부!C:C, B13, 개구부!D:D, "window")</f>
        <v>0</v>
      </c>
      <c r="M13" s="46">
        <f>COUNTIFS(개구부!C:C, B13, 개구부!D:D, "&lt;&gt;window")</f>
        <v>0</v>
      </c>
    </row>
    <row r="14" spans="2:17" ht="18" customHeight="1">
      <c r="B14" s="6"/>
      <c r="C14" s="6"/>
      <c r="D14" s="6"/>
      <c r="E14" s="6"/>
      <c r="F14" s="6"/>
      <c r="G14" s="6"/>
      <c r="H14" s="6"/>
      <c r="I14" s="31"/>
      <c r="J14" s="31"/>
      <c r="K14" s="61" t="str">
        <f>IF(C14="","",_xlfn.XLOOKUP(C14,실!$D:$D,실!$B:$B,""))</f>
        <v/>
      </c>
      <c r="L14" s="46">
        <f>COUNTIFS(개구부!C:C, B14, 개구부!D:D, "window")</f>
        <v>0</v>
      </c>
      <c r="M14" s="46">
        <f>COUNTIFS(개구부!C:C, B14, 개구부!D:D, "&lt;&gt;window")</f>
        <v>0</v>
      </c>
    </row>
    <row r="15" spans="2:17" ht="18" customHeight="1">
      <c r="B15" s="6"/>
      <c r="C15" s="6"/>
      <c r="D15" s="6"/>
      <c r="E15" s="6"/>
      <c r="F15" s="6"/>
      <c r="G15" s="6"/>
      <c r="H15" s="6"/>
      <c r="I15" s="31"/>
      <c r="J15" s="31"/>
      <c r="K15" s="61" t="str">
        <f>IF(C15="","",_xlfn.XLOOKUP(C15,실!$D:$D,실!$B:$B,""))</f>
        <v/>
      </c>
      <c r="L15" s="46">
        <f>COUNTIFS(개구부!C:C, B15, 개구부!D:D, "window")</f>
        <v>0</v>
      </c>
      <c r="M15" s="46">
        <f>COUNTIFS(개구부!C:C, B15, 개구부!D:D, "&lt;&gt;window")</f>
        <v>0</v>
      </c>
    </row>
    <row r="16" spans="2:17" ht="18" customHeight="1">
      <c r="B16" s="6"/>
      <c r="C16" s="6"/>
      <c r="D16" s="6"/>
      <c r="E16" s="6"/>
      <c r="F16" s="6"/>
      <c r="G16" s="6"/>
      <c r="H16" s="6"/>
      <c r="I16" s="31"/>
      <c r="J16" s="31"/>
      <c r="K16" s="61" t="str">
        <f>IF(C16="","",_xlfn.XLOOKUP(C16,실!$D:$D,실!$B:$B,""))</f>
        <v/>
      </c>
      <c r="L16" s="46">
        <f>COUNTIFS(개구부!C:C, B16, 개구부!D:D, "window")</f>
        <v>0</v>
      </c>
      <c r="M16" s="46">
        <f>COUNTIFS(개구부!C:C, B16, 개구부!D:D, "&lt;&gt;window")</f>
        <v>0</v>
      </c>
    </row>
    <row r="17" spans="2:13" ht="18" customHeight="1">
      <c r="B17" s="6"/>
      <c r="C17" s="6"/>
      <c r="D17" s="6"/>
      <c r="E17" s="6"/>
      <c r="F17" s="6"/>
      <c r="G17" s="6"/>
      <c r="H17" s="6"/>
      <c r="I17" s="31"/>
      <c r="J17" s="31"/>
      <c r="K17" s="61" t="str">
        <f>IF(C17="","",_xlfn.XLOOKUP(C17,실!$D:$D,실!$B:$B,""))</f>
        <v/>
      </c>
      <c r="L17" s="46">
        <f>COUNTIFS(개구부!C:C, B17, 개구부!D:D, "window")</f>
        <v>0</v>
      </c>
      <c r="M17" s="46">
        <f>COUNTIFS(개구부!C:C, B17, 개구부!D:D, "&lt;&gt;window")</f>
        <v>0</v>
      </c>
    </row>
    <row r="18" spans="2:13" ht="18" customHeight="1">
      <c r="B18" s="6"/>
      <c r="C18" s="6"/>
      <c r="D18" s="6"/>
      <c r="E18" s="6"/>
      <c r="F18" s="6"/>
      <c r="G18" s="6"/>
      <c r="H18" s="6"/>
      <c r="I18" s="31"/>
      <c r="J18" s="31"/>
      <c r="K18" s="61" t="str">
        <f>IF(C18="","",_xlfn.XLOOKUP(C18,실!$D:$D,실!$B:$B,""))</f>
        <v/>
      </c>
      <c r="L18" s="46">
        <f>COUNTIFS(개구부!C:C, B18, 개구부!D:D, "window")</f>
        <v>0</v>
      </c>
      <c r="M18" s="46">
        <f>COUNTIFS(개구부!C:C, B18, 개구부!D:D, "&lt;&gt;window")</f>
        <v>0</v>
      </c>
    </row>
    <row r="19" spans="2:13" ht="18" customHeight="1">
      <c r="B19" s="6"/>
      <c r="C19" s="6"/>
      <c r="D19" s="6"/>
      <c r="E19" s="6"/>
      <c r="F19" s="6"/>
      <c r="G19" s="6"/>
      <c r="H19" s="6"/>
      <c r="I19" s="31"/>
      <c r="J19" s="31"/>
      <c r="K19" s="61" t="str">
        <f>IF(C19="","",_xlfn.XLOOKUP(C19,실!$D:$D,실!$B:$B,""))</f>
        <v/>
      </c>
      <c r="L19" s="46">
        <f>COUNTIFS(개구부!C:C, B19, 개구부!D:D, "window")</f>
        <v>0</v>
      </c>
      <c r="M19" s="46">
        <f>COUNTIFS(개구부!C:C, B19, 개구부!D:D, "&lt;&gt;window")</f>
        <v>0</v>
      </c>
    </row>
    <row r="20" spans="2:13" ht="18" customHeight="1">
      <c r="B20" s="6"/>
      <c r="C20" s="6"/>
      <c r="D20" s="6"/>
      <c r="E20" s="6"/>
      <c r="F20" s="6"/>
      <c r="G20" s="6"/>
      <c r="H20" s="6"/>
      <c r="I20" s="31"/>
      <c r="J20" s="31"/>
      <c r="K20" s="61" t="str">
        <f>IF(C20="","",_xlfn.XLOOKUP(C20,실!$D:$D,실!$B:$B,""))</f>
        <v/>
      </c>
      <c r="L20" s="46">
        <f>COUNTIFS(개구부!C:C, B20, 개구부!D:D, "window")</f>
        <v>0</v>
      </c>
      <c r="M20" s="46">
        <f>COUNTIFS(개구부!C:C, B20, 개구부!D:D, "&lt;&gt;window")</f>
        <v>0</v>
      </c>
    </row>
    <row r="21" spans="2:13" ht="18" customHeight="1">
      <c r="B21" s="6"/>
      <c r="C21" s="6"/>
      <c r="D21" s="6"/>
      <c r="E21" s="6"/>
      <c r="F21" s="6"/>
      <c r="G21" s="6"/>
      <c r="H21" s="6"/>
      <c r="I21" s="31"/>
      <c r="J21" s="31"/>
      <c r="K21" s="61" t="str">
        <f>IF(C21="","",_xlfn.XLOOKUP(C21,실!$D:$D,실!$B:$B,""))</f>
        <v/>
      </c>
      <c r="L21" s="46">
        <f>COUNTIFS(개구부!C:C, B21, 개구부!D:D, "window")</f>
        <v>0</v>
      </c>
      <c r="M21" s="46">
        <f>COUNTIFS(개구부!C:C, B21, 개구부!D:D, "&lt;&gt;window")</f>
        <v>0</v>
      </c>
    </row>
    <row r="22" spans="2:13" ht="18" customHeight="1">
      <c r="B22" s="6"/>
      <c r="C22" s="6"/>
      <c r="D22" s="6"/>
      <c r="E22" s="6"/>
      <c r="F22" s="6"/>
      <c r="G22" s="6"/>
      <c r="H22" s="6"/>
      <c r="I22" s="31"/>
      <c r="J22" s="31"/>
      <c r="K22" s="61" t="str">
        <f>IF(C22="","",_xlfn.XLOOKUP(C22,실!$D:$D,실!$B:$B,""))</f>
        <v/>
      </c>
      <c r="L22" s="46">
        <f>COUNTIFS(개구부!C:C, B22, 개구부!D:D, "window")</f>
        <v>0</v>
      </c>
      <c r="M22" s="46">
        <f>COUNTIFS(개구부!C:C, B22, 개구부!D:D, "&lt;&gt;window")</f>
        <v>0</v>
      </c>
    </row>
    <row r="23" spans="2:13" ht="18" customHeight="1">
      <c r="B23" s="6"/>
      <c r="C23" s="6"/>
      <c r="D23" s="6"/>
      <c r="E23" s="6"/>
      <c r="F23" s="6"/>
      <c r="G23" s="6"/>
      <c r="H23" s="6"/>
      <c r="I23" s="31"/>
      <c r="J23" s="31"/>
      <c r="K23" s="61" t="str">
        <f>IF(C23="","",_xlfn.XLOOKUP(C23,실!$D:$D,실!$B:$B,""))</f>
        <v/>
      </c>
      <c r="L23" s="46">
        <f>COUNTIFS(개구부!C:C, B23, 개구부!D:D, "window")</f>
        <v>0</v>
      </c>
      <c r="M23" s="46">
        <f>COUNTIFS(개구부!C:C, B23, 개구부!D:D, "&lt;&gt;window")</f>
        <v>0</v>
      </c>
    </row>
    <row r="24" spans="2:13" ht="18" customHeight="1">
      <c r="B24" s="6"/>
      <c r="C24" s="6"/>
      <c r="D24" s="6"/>
      <c r="E24" s="6"/>
      <c r="F24" s="6"/>
      <c r="G24" s="6"/>
      <c r="H24" s="6"/>
      <c r="I24" s="31"/>
      <c r="J24" s="31"/>
      <c r="K24" s="61" t="str">
        <f>IF(C24="","",_xlfn.XLOOKUP(C24,실!$D:$D,실!$B:$B,""))</f>
        <v/>
      </c>
      <c r="L24" s="46">
        <f>COUNTIFS(개구부!C:C, B24, 개구부!D:D, "window")</f>
        <v>0</v>
      </c>
      <c r="M24" s="46">
        <f>COUNTIFS(개구부!C:C, B24, 개구부!D:D, "&lt;&gt;window")</f>
        <v>0</v>
      </c>
    </row>
    <row r="25" spans="2:13" ht="18" customHeight="1">
      <c r="B25" s="6"/>
      <c r="C25" s="6"/>
      <c r="D25" s="6"/>
      <c r="E25" s="6"/>
      <c r="F25" s="6"/>
      <c r="G25" s="6"/>
      <c r="H25" s="6"/>
      <c r="I25" s="31"/>
      <c r="J25" s="31"/>
      <c r="K25" s="61" t="str">
        <f>IF(C25="","",_xlfn.XLOOKUP(C25,실!$D:$D,실!$B:$B,""))</f>
        <v/>
      </c>
      <c r="L25" s="46">
        <f>COUNTIFS(개구부!C:C, B25, 개구부!D:D, "window")</f>
        <v>0</v>
      </c>
      <c r="M25" s="46">
        <f>COUNTIFS(개구부!C:C, B25, 개구부!D:D, "&lt;&gt;window")</f>
        <v>0</v>
      </c>
    </row>
    <row r="26" spans="2:13" ht="18" customHeight="1">
      <c r="B26" s="6"/>
      <c r="C26" s="6"/>
      <c r="D26" s="6"/>
      <c r="E26" s="6"/>
      <c r="F26" s="6"/>
      <c r="G26" s="6"/>
      <c r="H26" s="6"/>
      <c r="I26" s="31"/>
      <c r="J26" s="31"/>
      <c r="K26" s="61" t="str">
        <f>IF(C26="","",_xlfn.XLOOKUP(C26,실!$D:$D,실!$B:$B,""))</f>
        <v/>
      </c>
      <c r="L26" s="46">
        <f>COUNTIFS(개구부!C:C, B26, 개구부!D:D, "window")</f>
        <v>0</v>
      </c>
      <c r="M26" s="46">
        <f>COUNTIFS(개구부!C:C, B26, 개구부!D:D, "&lt;&gt;window")</f>
        <v>0</v>
      </c>
    </row>
    <row r="27" spans="2:13" ht="18" customHeight="1">
      <c r="B27" s="6"/>
      <c r="C27" s="6"/>
      <c r="D27" s="6"/>
      <c r="E27" s="6"/>
      <c r="F27" s="6"/>
      <c r="G27" s="6"/>
      <c r="H27" s="6"/>
      <c r="I27" s="31"/>
      <c r="J27" s="31"/>
      <c r="K27" s="61" t="str">
        <f>IF(C27="","",_xlfn.XLOOKUP(C27,실!$D:$D,실!$B:$B,""))</f>
        <v/>
      </c>
      <c r="L27" s="46">
        <f>COUNTIFS(개구부!C:C, B27, 개구부!D:D, "window")</f>
        <v>0</v>
      </c>
      <c r="M27" s="46">
        <f>COUNTIFS(개구부!C:C, B27, 개구부!D:D, "&lt;&gt;window")</f>
        <v>0</v>
      </c>
    </row>
    <row r="28" spans="2:13" ht="18" customHeight="1">
      <c r="B28" s="6"/>
      <c r="C28" s="6"/>
      <c r="D28" s="6"/>
      <c r="E28" s="6"/>
      <c r="F28" s="6"/>
      <c r="G28" s="6"/>
      <c r="H28" s="6"/>
      <c r="I28" s="31"/>
      <c r="J28" s="31"/>
      <c r="K28" s="61" t="str">
        <f>IF(C28="","",_xlfn.XLOOKUP(C28,실!$D:$D,실!$B:$B,""))</f>
        <v/>
      </c>
      <c r="L28" s="46">
        <f>COUNTIFS(개구부!C:C, B28, 개구부!D:D, "window")</f>
        <v>0</v>
      </c>
      <c r="M28" s="46">
        <f>COUNTIFS(개구부!C:C, B28, 개구부!D:D, "&lt;&gt;window")</f>
        <v>0</v>
      </c>
    </row>
    <row r="29" spans="2:13" ht="18" customHeight="1">
      <c r="B29" s="6"/>
      <c r="C29" s="6"/>
      <c r="D29" s="6"/>
      <c r="E29" s="6"/>
      <c r="F29" s="6"/>
      <c r="G29" s="6"/>
      <c r="H29" s="6"/>
      <c r="I29" s="31"/>
      <c r="J29" s="31"/>
      <c r="K29" s="61" t="str">
        <f>IF(C29="","",_xlfn.XLOOKUP(C29,실!$D:$D,실!$B:$B,""))</f>
        <v/>
      </c>
      <c r="L29" s="48">
        <f>COUNTIFS(개구부!C:C, B29, 개구부!D:D, "window")</f>
        <v>0</v>
      </c>
      <c r="M29" s="48">
        <f>COUNTIFS(개구부!C:C, B29, 개구부!D:D, "&lt;&gt;window")</f>
        <v>0</v>
      </c>
    </row>
    <row r="30" spans="2:13" ht="18" customHeight="1">
      <c r="B30" s="6"/>
      <c r="C30" s="6"/>
      <c r="D30" s="6"/>
      <c r="E30" s="6"/>
      <c r="F30" s="6"/>
      <c r="G30" s="6"/>
      <c r="H30" s="6"/>
      <c r="I30" s="31"/>
      <c r="J30" s="31"/>
      <c r="K30" s="61" t="str">
        <f>IF(C30="","",_xlfn.XLOOKUP(C30,실!$D:$D,실!$B:$B,""))</f>
        <v/>
      </c>
      <c r="L30" s="48">
        <f>COUNTIFS(개구부!C:C, B30, 개구부!D:D, "window")</f>
        <v>0</v>
      </c>
      <c r="M30" s="48">
        <f>COUNTIFS(개구부!C:C, B30, 개구부!D:D, "&lt;&gt;window")</f>
        <v>0</v>
      </c>
    </row>
    <row r="31" spans="2:13" ht="18" customHeight="1">
      <c r="B31" s="6"/>
      <c r="C31" s="6"/>
      <c r="D31" s="6"/>
      <c r="E31" s="6"/>
      <c r="F31" s="6"/>
      <c r="G31" s="6"/>
      <c r="H31" s="6"/>
      <c r="I31" s="31"/>
      <c r="J31" s="31"/>
      <c r="K31" s="61" t="str">
        <f>IF(C31="","",_xlfn.XLOOKUP(C31,실!$D:$D,실!$B:$B,""))</f>
        <v/>
      </c>
      <c r="L31" s="48">
        <f>COUNTIFS(개구부!C:C, B31, 개구부!D:D, "window")</f>
        <v>0</v>
      </c>
      <c r="M31" s="48">
        <f>COUNTIFS(개구부!C:C, B31, 개구부!D:D, "&lt;&gt;window")</f>
        <v>0</v>
      </c>
    </row>
    <row r="32" spans="2:13" ht="18" customHeight="1">
      <c r="B32" s="6"/>
      <c r="C32" s="6"/>
      <c r="D32" s="6"/>
      <c r="E32" s="6"/>
      <c r="F32" s="6"/>
      <c r="G32" s="6"/>
      <c r="H32" s="6"/>
      <c r="I32" s="31"/>
      <c r="J32" s="31"/>
      <c r="K32" s="61" t="str">
        <f>IF(C32="","",_xlfn.XLOOKUP(C32,실!$D:$D,실!$B:$B,""))</f>
        <v/>
      </c>
      <c r="L32" s="48">
        <f>COUNTIFS(개구부!C:C, B32, 개구부!D:D, "window")</f>
        <v>0</v>
      </c>
      <c r="M32" s="48">
        <f>COUNTIFS(개구부!C:C, B32, 개구부!D:D, "&lt;&gt;window")</f>
        <v>0</v>
      </c>
    </row>
    <row r="33" spans="2:13" ht="18" customHeight="1">
      <c r="B33" s="6"/>
      <c r="C33" s="6"/>
      <c r="D33" s="6"/>
      <c r="E33" s="6"/>
      <c r="F33" s="6"/>
      <c r="G33" s="6"/>
      <c r="H33" s="6"/>
      <c r="I33" s="31"/>
      <c r="J33" s="31"/>
      <c r="K33" s="61" t="str">
        <f>IF(C33="","",_xlfn.XLOOKUP(C33,실!$D:$D,실!$B:$B,""))</f>
        <v/>
      </c>
      <c r="L33" s="48">
        <f>COUNTIFS(개구부!C:C, B33, 개구부!D:D, "window")</f>
        <v>0</v>
      </c>
      <c r="M33" s="48">
        <f>COUNTIFS(개구부!C:C, B33, 개구부!D:D, "&lt;&gt;window")</f>
        <v>0</v>
      </c>
    </row>
    <row r="34" spans="2:13" ht="18" customHeight="1">
      <c r="B34" s="6"/>
      <c r="C34" s="6"/>
      <c r="D34" s="6"/>
      <c r="E34" s="6"/>
      <c r="F34" s="6"/>
      <c r="G34" s="6"/>
      <c r="H34" s="6"/>
      <c r="I34" s="31"/>
      <c r="J34" s="31"/>
      <c r="K34" s="61" t="str">
        <f>IF(C34="","",_xlfn.XLOOKUP(C34,실!$D:$D,실!$B:$B,""))</f>
        <v/>
      </c>
      <c r="L34" s="48">
        <f>COUNTIFS(개구부!C:C, B34, 개구부!D:D, "window")</f>
        <v>0</v>
      </c>
      <c r="M34" s="48">
        <f>COUNTIFS(개구부!C:C, B34, 개구부!D:D, "&lt;&gt;window")</f>
        <v>0</v>
      </c>
    </row>
    <row r="35" spans="2:13" ht="18" customHeight="1">
      <c r="B35" s="6"/>
      <c r="C35" s="6"/>
      <c r="D35" s="6"/>
      <c r="E35" s="6"/>
      <c r="F35" s="6"/>
      <c r="G35" s="6"/>
      <c r="H35" s="6"/>
      <c r="I35" s="31"/>
      <c r="J35" s="31"/>
      <c r="K35" s="61" t="str">
        <f>IF(C35="","",_xlfn.XLOOKUP(C35,실!$D:$D,실!$B:$B,""))</f>
        <v/>
      </c>
      <c r="L35" s="48">
        <f>COUNTIFS(개구부!C:C, B35, 개구부!D:D, "window")</f>
        <v>0</v>
      </c>
      <c r="M35" s="48">
        <f>COUNTIFS(개구부!C:C, B35, 개구부!D:D, "&lt;&gt;window")</f>
        <v>0</v>
      </c>
    </row>
    <row r="36" spans="2:13" ht="18" customHeight="1">
      <c r="B36" s="6"/>
      <c r="C36" s="6"/>
      <c r="D36" s="6"/>
      <c r="E36" s="6"/>
      <c r="F36" s="6"/>
      <c r="G36" s="6"/>
      <c r="H36" s="6"/>
      <c r="I36" s="31"/>
      <c r="J36" s="31"/>
      <c r="K36" s="61" t="str">
        <f>IF(C36="","",_xlfn.XLOOKUP(C36,실!$D:$D,실!$B:$B,""))</f>
        <v/>
      </c>
      <c r="L36" s="48">
        <f>COUNTIFS(개구부!C:C, B36, 개구부!D:D, "window")</f>
        <v>0</v>
      </c>
      <c r="M36" s="48">
        <f>COUNTIFS(개구부!C:C, B36, 개구부!D:D, "&lt;&gt;window")</f>
        <v>0</v>
      </c>
    </row>
    <row r="37" spans="2:13" ht="18" customHeight="1">
      <c r="B37" s="6"/>
      <c r="C37" s="6"/>
      <c r="D37" s="6"/>
      <c r="E37" s="6"/>
      <c r="F37" s="6"/>
      <c r="G37" s="6"/>
      <c r="H37" s="6"/>
      <c r="I37" s="31"/>
      <c r="J37" s="31"/>
      <c r="K37" s="61" t="str">
        <f>IF(C37="","",_xlfn.XLOOKUP(C37,실!$D:$D,실!$B:$B,""))</f>
        <v/>
      </c>
      <c r="L37" s="48">
        <f>COUNTIFS(개구부!C:C, B37, 개구부!D:D, "window")</f>
        <v>0</v>
      </c>
      <c r="M37" s="48">
        <f>COUNTIFS(개구부!C:C, B37, 개구부!D:D, "&lt;&gt;window")</f>
        <v>0</v>
      </c>
    </row>
    <row r="38" spans="2:13" ht="18" customHeight="1">
      <c r="B38" s="6"/>
      <c r="C38" s="6"/>
      <c r="D38" s="6"/>
      <c r="E38" s="6"/>
      <c r="F38" s="6"/>
      <c r="G38" s="6"/>
      <c r="H38" s="6"/>
      <c r="I38" s="31"/>
      <c r="J38" s="31"/>
      <c r="K38" s="61" t="str">
        <f>IF(C38="","",_xlfn.XLOOKUP(C38,실!$D:$D,실!$B:$B,""))</f>
        <v/>
      </c>
      <c r="L38" s="48">
        <f>COUNTIFS(개구부!C:C, B38, 개구부!D:D, "window")</f>
        <v>0</v>
      </c>
      <c r="M38" s="48">
        <f>COUNTIFS(개구부!C:C, B38, 개구부!D:D, "&lt;&gt;window")</f>
        <v>0</v>
      </c>
    </row>
    <row r="39" spans="2:13" ht="18" customHeight="1">
      <c r="B39" s="6"/>
      <c r="C39" s="6"/>
      <c r="D39" s="6"/>
      <c r="E39" s="6"/>
      <c r="F39" s="6"/>
      <c r="G39" s="6"/>
      <c r="H39" s="6"/>
      <c r="I39" s="31"/>
      <c r="J39" s="31"/>
      <c r="K39" s="61" t="str">
        <f>IF(C39="","",_xlfn.XLOOKUP(C39,실!$D:$D,실!$B:$B,""))</f>
        <v/>
      </c>
      <c r="L39" s="48">
        <f>COUNTIFS(개구부!C:C, B39, 개구부!D:D, "window")</f>
        <v>0</v>
      </c>
      <c r="M39" s="48">
        <f>COUNTIFS(개구부!C:C, B39, 개구부!D:D, "&lt;&gt;window")</f>
        <v>0</v>
      </c>
    </row>
    <row r="40" spans="2:13" ht="18" customHeight="1">
      <c r="B40" s="6"/>
      <c r="C40" s="6"/>
      <c r="D40" s="6"/>
      <c r="E40" s="6"/>
      <c r="F40" s="6"/>
      <c r="G40" s="6"/>
      <c r="H40" s="6"/>
      <c r="I40" s="31"/>
      <c r="J40" s="31"/>
      <c r="K40" s="61" t="str">
        <f>IF(C40="","",_xlfn.XLOOKUP(C40,실!$D:$D,실!$B:$B,""))</f>
        <v/>
      </c>
      <c r="L40" s="48">
        <f>COUNTIFS(개구부!C:C, B40, 개구부!D:D, "window")</f>
        <v>0</v>
      </c>
      <c r="M40" s="48">
        <f>COUNTIFS(개구부!C:C, B40, 개구부!D:D, "&lt;&gt;window")</f>
        <v>0</v>
      </c>
    </row>
    <row r="41" spans="2:13" ht="18" customHeight="1">
      <c r="B41" s="6"/>
      <c r="C41" s="6"/>
      <c r="D41" s="6"/>
      <c r="E41" s="6"/>
      <c r="F41" s="6"/>
      <c r="G41" s="6"/>
      <c r="H41" s="6"/>
      <c r="I41" s="31"/>
      <c r="J41" s="31"/>
      <c r="K41" s="61" t="str">
        <f>IF(C41="","",_xlfn.XLOOKUP(C41,실!$D:$D,실!$B:$B,""))</f>
        <v/>
      </c>
      <c r="L41" s="48">
        <f>COUNTIFS(개구부!C:C, B41, 개구부!D:D, "window")</f>
        <v>0</v>
      </c>
      <c r="M41" s="48">
        <f>COUNTIFS(개구부!C:C, B41, 개구부!D:D, "&lt;&gt;window")</f>
        <v>0</v>
      </c>
    </row>
    <row r="42" spans="2:13" ht="18" customHeight="1">
      <c r="B42" s="6"/>
      <c r="C42" s="6"/>
      <c r="D42" s="6"/>
      <c r="E42" s="6"/>
      <c r="F42" s="6"/>
      <c r="G42" s="6"/>
      <c r="H42" s="6"/>
      <c r="I42" s="31"/>
      <c r="J42" s="31"/>
      <c r="K42" s="61" t="str">
        <f>IF(C42="","",_xlfn.XLOOKUP(C42,실!$D:$D,실!$B:$B,""))</f>
        <v/>
      </c>
      <c r="L42" s="48">
        <f>COUNTIFS(개구부!C:C, B42, 개구부!D:D, "window")</f>
        <v>0</v>
      </c>
      <c r="M42" s="48">
        <f>COUNTIFS(개구부!C:C, B42, 개구부!D:D, "&lt;&gt;window")</f>
        <v>0</v>
      </c>
    </row>
    <row r="43" spans="2:13" ht="18" customHeight="1">
      <c r="B43" s="6"/>
      <c r="C43" s="6"/>
      <c r="D43" s="6"/>
      <c r="E43" s="6"/>
      <c r="F43" s="6"/>
      <c r="G43" s="6"/>
      <c r="H43" s="6"/>
      <c r="I43" s="31"/>
      <c r="J43" s="31"/>
      <c r="K43" s="61" t="str">
        <f>IF(C43="","",_xlfn.XLOOKUP(C43,실!$D:$D,실!$B:$B,""))</f>
        <v/>
      </c>
      <c r="L43" s="48">
        <f>COUNTIFS(개구부!C:C, B43, 개구부!D:D, "window")</f>
        <v>0</v>
      </c>
      <c r="M43" s="48">
        <f>COUNTIFS(개구부!C:C, B43, 개구부!D:D, "&lt;&gt;window")</f>
        <v>0</v>
      </c>
    </row>
    <row r="44" spans="2:13" ht="18" customHeight="1">
      <c r="B44" s="6"/>
      <c r="C44" s="6"/>
      <c r="D44" s="6"/>
      <c r="E44" s="6"/>
      <c r="F44" s="6"/>
      <c r="G44" s="6"/>
      <c r="H44" s="6"/>
      <c r="I44" s="31"/>
      <c r="J44" s="31"/>
      <c r="K44" s="61" t="str">
        <f>IF(C44="","",_xlfn.XLOOKUP(C44,실!$D:$D,실!$B:$B,""))</f>
        <v/>
      </c>
      <c r="L44" s="48">
        <f>COUNTIFS(개구부!C:C, B44, 개구부!D:D, "window")</f>
        <v>0</v>
      </c>
      <c r="M44" s="48">
        <f>COUNTIFS(개구부!C:C, B44, 개구부!D:D, "&lt;&gt;window")</f>
        <v>0</v>
      </c>
    </row>
    <row r="45" spans="2:13" ht="18" customHeight="1">
      <c r="B45" s="6"/>
      <c r="C45" s="6"/>
      <c r="D45" s="6"/>
      <c r="E45" s="6"/>
      <c r="F45" s="6"/>
      <c r="G45" s="6"/>
      <c r="H45" s="6"/>
      <c r="I45" s="31"/>
      <c r="J45" s="31"/>
      <c r="K45" s="61" t="str">
        <f>IF(C45="","",_xlfn.XLOOKUP(C45,실!$D:$D,실!$B:$B,""))</f>
        <v/>
      </c>
      <c r="L45" s="48">
        <f>COUNTIFS(개구부!C:C, B45, 개구부!D:D, "window")</f>
        <v>0</v>
      </c>
      <c r="M45" s="48">
        <f>COUNTIFS(개구부!C:C, B45, 개구부!D:D, "&lt;&gt;window")</f>
        <v>0</v>
      </c>
    </row>
    <row r="46" spans="2:13" ht="18" customHeight="1">
      <c r="B46" s="6"/>
      <c r="C46" s="6"/>
      <c r="D46" s="6"/>
      <c r="E46" s="6"/>
      <c r="F46" s="6"/>
      <c r="G46" s="6"/>
      <c r="H46" s="6"/>
      <c r="I46" s="31"/>
      <c r="J46" s="31"/>
      <c r="K46" s="61" t="str">
        <f>IF(C46="","",_xlfn.XLOOKUP(C46,실!$D:$D,실!$B:$B,""))</f>
        <v/>
      </c>
      <c r="L46" s="48">
        <f>COUNTIFS(개구부!C:C, B46, 개구부!D:D, "window")</f>
        <v>0</v>
      </c>
      <c r="M46" s="48">
        <f>COUNTIFS(개구부!C:C, B46, 개구부!D:D, "&lt;&gt;window")</f>
        <v>0</v>
      </c>
    </row>
    <row r="47" spans="2:13" ht="18" customHeight="1">
      <c r="B47" s="6"/>
      <c r="C47" s="6"/>
      <c r="D47" s="6"/>
      <c r="E47" s="6"/>
      <c r="F47" s="6"/>
      <c r="G47" s="6"/>
      <c r="H47" s="6"/>
      <c r="I47" s="31"/>
      <c r="J47" s="31"/>
      <c r="K47" s="61" t="str">
        <f>IF(C47="","",_xlfn.XLOOKUP(C47,실!$D:$D,실!$B:$B,""))</f>
        <v/>
      </c>
      <c r="L47" s="48">
        <f>COUNTIFS(개구부!C:C, B47, 개구부!D:D, "window")</f>
        <v>0</v>
      </c>
      <c r="M47" s="48">
        <f>COUNTIFS(개구부!C:C, B47, 개구부!D:D, "&lt;&gt;window")</f>
        <v>0</v>
      </c>
    </row>
    <row r="48" spans="2:13" ht="18" customHeight="1">
      <c r="B48" s="6"/>
      <c r="C48" s="6"/>
      <c r="D48" s="6"/>
      <c r="E48" s="6"/>
      <c r="F48" s="6"/>
      <c r="G48" s="6"/>
      <c r="H48" s="6"/>
      <c r="I48" s="31"/>
      <c r="J48" s="31"/>
      <c r="K48" s="61" t="str">
        <f>IF(C48="","",_xlfn.XLOOKUP(C48,실!$D:$D,실!$B:$B,""))</f>
        <v/>
      </c>
      <c r="L48" s="48">
        <f>COUNTIFS(개구부!C:C, B48, 개구부!D:D, "window")</f>
        <v>0</v>
      </c>
      <c r="M48" s="48">
        <f>COUNTIFS(개구부!C:C, B48, 개구부!D:D, "&lt;&gt;window")</f>
        <v>0</v>
      </c>
    </row>
    <row r="49" spans="2:13" ht="18" customHeight="1">
      <c r="B49" s="6"/>
      <c r="C49" s="6"/>
      <c r="D49" s="6"/>
      <c r="E49" s="6"/>
      <c r="F49" s="6"/>
      <c r="G49" s="6"/>
      <c r="H49" s="6"/>
      <c r="I49" s="31"/>
      <c r="J49" s="31"/>
      <c r="K49" s="61" t="str">
        <f>IF(C49="","",_xlfn.XLOOKUP(C49,실!$D:$D,실!$B:$B,""))</f>
        <v/>
      </c>
      <c r="L49" s="48">
        <f>COUNTIFS(개구부!C:C, B49, 개구부!D:D, "window")</f>
        <v>0</v>
      </c>
      <c r="M49" s="48">
        <f>COUNTIFS(개구부!C:C, B49, 개구부!D:D, "&lt;&gt;window")</f>
        <v>0</v>
      </c>
    </row>
    <row r="50" spans="2:13" ht="18" customHeight="1">
      <c r="B50" s="6"/>
      <c r="C50" s="6"/>
      <c r="D50" s="6"/>
      <c r="E50" s="6"/>
      <c r="F50" s="6"/>
      <c r="G50" s="6"/>
      <c r="H50" s="6"/>
      <c r="I50" s="31"/>
      <c r="J50" s="31"/>
      <c r="K50" s="61" t="str">
        <f>IF(C50="","",_xlfn.XLOOKUP(C50,실!$D:$D,실!$B:$B,""))</f>
        <v/>
      </c>
      <c r="L50" s="48">
        <f>COUNTIFS(개구부!C:C, B50, 개구부!D:D, "window")</f>
        <v>0</v>
      </c>
      <c r="M50" s="48">
        <f>COUNTIFS(개구부!C:C, B50, 개구부!D:D, "&lt;&gt;window")</f>
        <v>0</v>
      </c>
    </row>
    <row r="51" spans="2:13" ht="18" customHeight="1">
      <c r="B51" s="6"/>
      <c r="C51" s="6"/>
      <c r="D51" s="6"/>
      <c r="E51" s="6"/>
      <c r="F51" s="6"/>
      <c r="G51" s="6"/>
      <c r="H51" s="6"/>
      <c r="I51" s="31"/>
      <c r="J51" s="31"/>
      <c r="K51" s="61" t="str">
        <f>IF(C51="","",_xlfn.XLOOKUP(C51,실!$D:$D,실!$B:$B,""))</f>
        <v/>
      </c>
      <c r="L51" s="48">
        <f>COUNTIFS(개구부!C:C, B51, 개구부!D:D, "window")</f>
        <v>0</v>
      </c>
      <c r="M51" s="48">
        <f>COUNTIFS(개구부!C:C, B51, 개구부!D:D, "&lt;&gt;window")</f>
        <v>0</v>
      </c>
    </row>
    <row r="52" spans="2:13" ht="18" customHeight="1">
      <c r="B52" s="6"/>
      <c r="C52" s="6"/>
      <c r="D52" s="6"/>
      <c r="E52" s="6"/>
      <c r="F52" s="6"/>
      <c r="G52" s="6"/>
      <c r="H52" s="6"/>
      <c r="I52" s="31"/>
      <c r="J52" s="31"/>
      <c r="K52" s="61" t="str">
        <f>IF(C52="","",_xlfn.XLOOKUP(C52,실!$D:$D,실!$B:$B,""))</f>
        <v/>
      </c>
      <c r="L52" s="48">
        <f>COUNTIFS(개구부!C:C, B52, 개구부!D:D, "window")</f>
        <v>0</v>
      </c>
      <c r="M52" s="48">
        <f>COUNTIFS(개구부!C:C, B52, 개구부!D:D, "&lt;&gt;window")</f>
        <v>0</v>
      </c>
    </row>
    <row r="53" spans="2:13" ht="18" customHeight="1">
      <c r="B53" s="6"/>
      <c r="C53" s="6"/>
      <c r="D53" s="6"/>
      <c r="E53" s="6"/>
      <c r="F53" s="6"/>
      <c r="G53" s="6"/>
      <c r="H53" s="6"/>
      <c r="I53" s="31"/>
      <c r="J53" s="31"/>
      <c r="K53" s="61" t="str">
        <f>IF(C53="","",_xlfn.XLOOKUP(C53,실!$D:$D,실!$B:$B,""))</f>
        <v/>
      </c>
      <c r="L53" s="48">
        <f>COUNTIFS(개구부!C:C, B53, 개구부!D:D, "window")</f>
        <v>0</v>
      </c>
      <c r="M53" s="48">
        <f>COUNTIFS(개구부!C:C, B53, 개구부!D:D, "&lt;&gt;window")</f>
        <v>0</v>
      </c>
    </row>
    <row r="54" spans="2:13" ht="18" customHeight="1">
      <c r="B54" s="6"/>
      <c r="C54" s="6"/>
      <c r="D54" s="6"/>
      <c r="E54" s="6"/>
      <c r="F54" s="6"/>
      <c r="G54" s="6"/>
      <c r="H54" s="6"/>
      <c r="I54" s="31"/>
      <c r="J54" s="31"/>
      <c r="K54" s="61" t="str">
        <f>IF(C54="","",_xlfn.XLOOKUP(C54,실!$D:$D,실!$B:$B,""))</f>
        <v/>
      </c>
      <c r="L54" s="48">
        <f>COUNTIFS(개구부!C:C, B54, 개구부!D:D, "window")</f>
        <v>0</v>
      </c>
      <c r="M54" s="48">
        <f>COUNTIFS(개구부!C:C, B54, 개구부!D:D, "&lt;&gt;window")</f>
        <v>0</v>
      </c>
    </row>
    <row r="55" spans="2:13" ht="18" customHeight="1">
      <c r="B55" s="6"/>
      <c r="C55" s="6"/>
      <c r="D55" s="6"/>
      <c r="E55" s="6"/>
      <c r="F55" s="6"/>
      <c r="G55" s="6"/>
      <c r="H55" s="6"/>
      <c r="I55" s="31"/>
      <c r="J55" s="31"/>
      <c r="K55" s="61" t="str">
        <f>IF(C55="","",_xlfn.XLOOKUP(C55,실!$D:$D,실!$B:$B,""))</f>
        <v/>
      </c>
      <c r="L55" s="48">
        <f>COUNTIFS(개구부!C:C, B55, 개구부!D:D, "window")</f>
        <v>0</v>
      </c>
      <c r="M55" s="48">
        <f>COUNTIFS(개구부!C:C, B55, 개구부!D:D, "&lt;&gt;window")</f>
        <v>0</v>
      </c>
    </row>
    <row r="56" spans="2:13" ht="18" customHeight="1">
      <c r="B56" s="6"/>
      <c r="C56" s="6"/>
      <c r="D56" s="6"/>
      <c r="E56" s="6"/>
      <c r="F56" s="6"/>
      <c r="G56" s="6"/>
      <c r="H56" s="6"/>
      <c r="I56" s="31"/>
      <c r="J56" s="31"/>
      <c r="K56" s="61" t="str">
        <f>IF(C56="","",_xlfn.XLOOKUP(C56,실!$D:$D,실!$B:$B,""))</f>
        <v/>
      </c>
      <c r="L56" s="48">
        <f>COUNTIFS(개구부!C:C, B56, 개구부!D:D, "window")</f>
        <v>0</v>
      </c>
      <c r="M56" s="48">
        <f>COUNTIFS(개구부!C:C, B56, 개구부!D:D, "&lt;&gt;window")</f>
        <v>0</v>
      </c>
    </row>
    <row r="57" spans="2:13" ht="18" customHeight="1">
      <c r="B57" s="6"/>
      <c r="C57" s="6"/>
      <c r="D57" s="6"/>
      <c r="E57" s="6"/>
      <c r="F57" s="6"/>
      <c r="G57" s="6"/>
      <c r="H57" s="6"/>
      <c r="I57" s="31"/>
      <c r="J57" s="31"/>
      <c r="K57" s="61" t="str">
        <f>IF(C57="","",_xlfn.XLOOKUP(C57,실!$D:$D,실!$B:$B,""))</f>
        <v/>
      </c>
      <c r="L57" s="48">
        <f>COUNTIFS(개구부!C:C, B57, 개구부!D:D, "window")</f>
        <v>0</v>
      </c>
      <c r="M57" s="48">
        <f>COUNTIFS(개구부!C:C, B57, 개구부!D:D, "&lt;&gt;window")</f>
        <v>0</v>
      </c>
    </row>
    <row r="58" spans="2:13" ht="18" customHeight="1">
      <c r="B58" s="6"/>
      <c r="C58" s="6"/>
      <c r="D58" s="6"/>
      <c r="E58" s="6"/>
      <c r="F58" s="6"/>
      <c r="G58" s="6"/>
      <c r="H58" s="6"/>
      <c r="I58" s="31"/>
      <c r="J58" s="31"/>
      <c r="K58" s="61" t="str">
        <f>IF(C58="","",_xlfn.XLOOKUP(C58,실!$D:$D,실!$B:$B,""))</f>
        <v/>
      </c>
      <c r="L58" s="48">
        <f>COUNTIFS(개구부!C:C, B58, 개구부!D:D, "window")</f>
        <v>0</v>
      </c>
      <c r="M58" s="48">
        <f>COUNTIFS(개구부!C:C, B58, 개구부!D:D, "&lt;&gt;window")</f>
        <v>0</v>
      </c>
    </row>
    <row r="59" spans="2:13" ht="18" customHeight="1">
      <c r="B59" s="6"/>
      <c r="C59" s="6"/>
      <c r="D59" s="6"/>
      <c r="E59" s="6"/>
      <c r="F59" s="6"/>
      <c r="G59" s="6"/>
      <c r="H59" s="6"/>
      <c r="I59" s="31"/>
      <c r="J59" s="31"/>
      <c r="K59" s="61" t="str">
        <f>IF(C59="","",_xlfn.XLOOKUP(C59,실!$D:$D,실!$B:$B,""))</f>
        <v/>
      </c>
      <c r="L59" s="48">
        <f>COUNTIFS(개구부!C:C, B59, 개구부!D:D, "window")</f>
        <v>0</v>
      </c>
      <c r="M59" s="48">
        <f>COUNTIFS(개구부!C:C, B59, 개구부!D:D, "&lt;&gt;window")</f>
        <v>0</v>
      </c>
    </row>
    <row r="60" spans="2:13" ht="18" customHeight="1">
      <c r="B60" s="6"/>
      <c r="C60" s="6"/>
      <c r="D60" s="6"/>
      <c r="E60" s="6"/>
      <c r="F60" s="6"/>
      <c r="G60" s="6"/>
      <c r="H60" s="6"/>
      <c r="I60" s="31"/>
      <c r="J60" s="31"/>
      <c r="K60" s="61" t="str">
        <f>IF(C60="","",_xlfn.XLOOKUP(C60,실!$D:$D,실!$B:$B,""))</f>
        <v/>
      </c>
      <c r="L60" s="48">
        <f>COUNTIFS(개구부!C:C, B60, 개구부!D:D, "window")</f>
        <v>0</v>
      </c>
      <c r="M60" s="48">
        <f>COUNTIFS(개구부!C:C, B60, 개구부!D:D, "&lt;&gt;window")</f>
        <v>0</v>
      </c>
    </row>
    <row r="61" spans="2:13" ht="18" customHeight="1">
      <c r="B61" s="6"/>
      <c r="C61" s="6"/>
      <c r="D61" s="6"/>
      <c r="E61" s="6"/>
      <c r="F61" s="6"/>
      <c r="G61" s="6"/>
      <c r="H61" s="6"/>
      <c r="I61" s="31"/>
      <c r="J61" s="31"/>
      <c r="K61" s="61" t="str">
        <f>IF(C61="","",_xlfn.XLOOKUP(C61,실!$D:$D,실!$B:$B,""))</f>
        <v/>
      </c>
      <c r="L61" s="48">
        <f>COUNTIFS(개구부!C:C, B61, 개구부!D:D, "window")</f>
        <v>0</v>
      </c>
      <c r="M61" s="48">
        <f>COUNTIFS(개구부!C:C, B61, 개구부!D:D, "&lt;&gt;window")</f>
        <v>0</v>
      </c>
    </row>
    <row r="62" spans="2:13" ht="18" customHeight="1">
      <c r="B62" s="6"/>
      <c r="C62" s="6"/>
      <c r="D62" s="6"/>
      <c r="E62" s="6"/>
      <c r="F62" s="6"/>
      <c r="G62" s="6"/>
      <c r="H62" s="6"/>
      <c r="I62" s="31"/>
      <c r="J62" s="31"/>
      <c r="K62" s="61" t="str">
        <f>IF(C62="","",_xlfn.XLOOKUP(C62,실!$D:$D,실!$B:$B,""))</f>
        <v/>
      </c>
      <c r="L62" s="48">
        <f>COUNTIFS(개구부!C:C, B62, 개구부!D:D, "window")</f>
        <v>0</v>
      </c>
      <c r="M62" s="48">
        <f>COUNTIFS(개구부!C:C, B62, 개구부!D:D, "&lt;&gt;window")</f>
        <v>0</v>
      </c>
    </row>
    <row r="63" spans="2:13" ht="18" customHeight="1">
      <c r="B63" s="6"/>
      <c r="C63" s="6"/>
      <c r="D63" s="6"/>
      <c r="E63" s="6"/>
      <c r="F63" s="6"/>
      <c r="G63" s="6"/>
      <c r="H63" s="6"/>
      <c r="I63" s="31"/>
      <c r="J63" s="31"/>
      <c r="K63" s="61" t="str">
        <f>IF(C63="","",_xlfn.XLOOKUP(C63,실!$D:$D,실!$B:$B,""))</f>
        <v/>
      </c>
      <c r="L63" s="48">
        <f>COUNTIFS(개구부!C:C, B63, 개구부!D:D, "window")</f>
        <v>0</v>
      </c>
      <c r="M63" s="48">
        <f>COUNTIFS(개구부!C:C, B63, 개구부!D:D, "&lt;&gt;window")</f>
        <v>0</v>
      </c>
    </row>
    <row r="64" spans="2:13" ht="18" customHeight="1">
      <c r="B64" s="6"/>
      <c r="C64" s="6"/>
      <c r="D64" s="6"/>
      <c r="E64" s="6"/>
      <c r="F64" s="6"/>
      <c r="G64" s="6"/>
      <c r="H64" s="6"/>
      <c r="I64" s="31"/>
      <c r="J64" s="31"/>
      <c r="K64" s="61" t="str">
        <f>IF(C64="","",_xlfn.XLOOKUP(C64,실!$D:$D,실!$B:$B,""))</f>
        <v/>
      </c>
      <c r="L64" s="48">
        <f>COUNTIFS(개구부!C:C, B64, 개구부!D:D, "window")</f>
        <v>0</v>
      </c>
      <c r="M64" s="48">
        <f>COUNTIFS(개구부!C:C, B64, 개구부!D:D, "&lt;&gt;window")</f>
        <v>0</v>
      </c>
    </row>
    <row r="65" spans="2:13" ht="18" customHeight="1">
      <c r="B65" s="6"/>
      <c r="C65" s="6"/>
      <c r="D65" s="6"/>
      <c r="E65" s="6"/>
      <c r="F65" s="6"/>
      <c r="G65" s="6"/>
      <c r="H65" s="6"/>
      <c r="I65" s="31"/>
      <c r="J65" s="31"/>
      <c r="K65" s="61" t="str">
        <f>IF(C65="","",_xlfn.XLOOKUP(C65,실!$D:$D,실!$B:$B,""))</f>
        <v/>
      </c>
      <c r="L65" s="48">
        <f>COUNTIFS(개구부!C:C, B65, 개구부!D:D, "window")</f>
        <v>0</v>
      </c>
      <c r="M65" s="48">
        <f>COUNTIFS(개구부!C:C, B65, 개구부!D:D, "&lt;&gt;window")</f>
        <v>0</v>
      </c>
    </row>
    <row r="66" spans="2:13" ht="18" customHeight="1">
      <c r="B66" s="6"/>
      <c r="C66" s="6"/>
      <c r="D66" s="6"/>
      <c r="E66" s="6"/>
      <c r="F66" s="6"/>
      <c r="G66" s="6"/>
      <c r="H66" s="6"/>
      <c r="I66" s="31"/>
      <c r="J66" s="31"/>
      <c r="K66" s="61" t="str">
        <f>IF(C66="","",_xlfn.XLOOKUP(C66,실!$D:$D,실!$B:$B,""))</f>
        <v/>
      </c>
      <c r="L66" s="48">
        <f>COUNTIFS(개구부!C:C, B66, 개구부!D:D, "window")</f>
        <v>0</v>
      </c>
      <c r="M66" s="48">
        <f>COUNTIFS(개구부!C:C, B66, 개구부!D:D, "&lt;&gt;window")</f>
        <v>0</v>
      </c>
    </row>
    <row r="67" spans="2:13" ht="18" customHeight="1">
      <c r="B67" s="6"/>
      <c r="C67" s="6"/>
      <c r="D67" s="6"/>
      <c r="E67" s="6"/>
      <c r="F67" s="6"/>
      <c r="G67" s="6"/>
      <c r="H67" s="6"/>
      <c r="I67" s="31"/>
      <c r="J67" s="31"/>
      <c r="K67" s="61" t="str">
        <f>IF(C67="","",_xlfn.XLOOKUP(C67,실!$D:$D,실!$B:$B,""))</f>
        <v/>
      </c>
      <c r="L67" s="48">
        <f>COUNTIFS(개구부!C:C, B67, 개구부!D:D, "window")</f>
        <v>0</v>
      </c>
      <c r="M67" s="48">
        <f>COUNTIFS(개구부!C:C, B67, 개구부!D:D, "&lt;&gt;window")</f>
        <v>0</v>
      </c>
    </row>
    <row r="68" spans="2:13" ht="18" customHeight="1">
      <c r="B68" s="6"/>
      <c r="C68" s="6"/>
      <c r="D68" s="6"/>
      <c r="E68" s="6"/>
      <c r="F68" s="6"/>
      <c r="G68" s="6"/>
      <c r="H68" s="6"/>
      <c r="I68" s="31"/>
      <c r="J68" s="31"/>
      <c r="K68" s="61" t="str">
        <f>IF(C68="","",_xlfn.XLOOKUP(C68,실!$D:$D,실!$B:$B,""))</f>
        <v/>
      </c>
      <c r="L68" s="48">
        <f>COUNTIFS(개구부!C:C, B68, 개구부!D:D, "window")</f>
        <v>0</v>
      </c>
      <c r="M68" s="48">
        <f>COUNTIFS(개구부!C:C, B68, 개구부!D:D, "&lt;&gt;window")</f>
        <v>0</v>
      </c>
    </row>
    <row r="69" spans="2:13" ht="18" customHeight="1">
      <c r="B69" s="6"/>
      <c r="C69" s="6"/>
      <c r="D69" s="6"/>
      <c r="E69" s="6"/>
      <c r="F69" s="6"/>
      <c r="G69" s="6"/>
      <c r="H69" s="6"/>
      <c r="I69" s="31"/>
      <c r="J69" s="31"/>
      <c r="K69" s="61" t="str">
        <f>IF(C69="","",_xlfn.XLOOKUP(C69,실!$D:$D,실!$B:$B,""))</f>
        <v/>
      </c>
      <c r="L69" s="48">
        <f>COUNTIFS(개구부!C:C, B69, 개구부!D:D, "window")</f>
        <v>0</v>
      </c>
      <c r="M69" s="48">
        <f>COUNTIFS(개구부!C:C, B69, 개구부!D:D, "&lt;&gt;window")</f>
        <v>0</v>
      </c>
    </row>
    <row r="70" spans="2:13" ht="18" customHeight="1">
      <c r="B70" s="6"/>
      <c r="C70" s="6"/>
      <c r="D70" s="6"/>
      <c r="E70" s="6"/>
      <c r="F70" s="6"/>
      <c r="G70" s="6"/>
      <c r="H70" s="6"/>
      <c r="I70" s="31"/>
      <c r="J70" s="31"/>
      <c r="K70" s="61" t="str">
        <f>IF(C70="","",_xlfn.XLOOKUP(C70,실!$D:$D,실!$B:$B,""))</f>
        <v/>
      </c>
      <c r="L70" s="48">
        <f>COUNTIFS(개구부!C:C, B70, 개구부!D:D, "window")</f>
        <v>0</v>
      </c>
      <c r="M70" s="48">
        <f>COUNTIFS(개구부!C:C, B70, 개구부!D:D, "&lt;&gt;window")</f>
        <v>0</v>
      </c>
    </row>
    <row r="71" spans="2:13" ht="18" customHeight="1">
      <c r="B71" s="6"/>
      <c r="C71" s="6"/>
      <c r="D71" s="6"/>
      <c r="E71" s="6"/>
      <c r="F71" s="6"/>
      <c r="G71" s="6"/>
      <c r="H71" s="6"/>
      <c r="I71" s="31"/>
      <c r="J71" s="31"/>
      <c r="K71" s="61" t="str">
        <f>IF(C71="","",_xlfn.XLOOKUP(C71,실!$D:$D,실!$B:$B,""))</f>
        <v/>
      </c>
      <c r="L71" s="48">
        <f>COUNTIFS(개구부!C:C, B71, 개구부!D:D, "window")</f>
        <v>0</v>
      </c>
      <c r="M71" s="48">
        <f>COUNTIFS(개구부!C:C, B71, 개구부!D:D, "&lt;&gt;window")</f>
        <v>0</v>
      </c>
    </row>
    <row r="72" spans="2:13" ht="18" customHeight="1">
      <c r="B72" s="6"/>
      <c r="C72" s="6"/>
      <c r="D72" s="6"/>
      <c r="E72" s="6"/>
      <c r="F72" s="6"/>
      <c r="G72" s="6"/>
      <c r="H72" s="6"/>
      <c r="I72" s="31"/>
      <c r="J72" s="31"/>
      <c r="K72" s="61" t="str">
        <f>IF(C72="","",_xlfn.XLOOKUP(C72,실!$D:$D,실!$B:$B,""))</f>
        <v/>
      </c>
      <c r="L72" s="48">
        <f>COUNTIFS(개구부!C:C, B72, 개구부!D:D, "window")</f>
        <v>0</v>
      </c>
      <c r="M72" s="48">
        <f>COUNTIFS(개구부!C:C, B72, 개구부!D:D, "&lt;&gt;window")</f>
        <v>0</v>
      </c>
    </row>
    <row r="73" spans="2:13" ht="18" customHeight="1">
      <c r="B73" s="6"/>
      <c r="C73" s="6"/>
      <c r="D73" s="6"/>
      <c r="E73" s="6"/>
      <c r="F73" s="6"/>
      <c r="G73" s="6"/>
      <c r="H73" s="6"/>
      <c r="I73" s="31"/>
      <c r="J73" s="31"/>
      <c r="K73" s="61" t="str">
        <f>IF(C73="","",_xlfn.XLOOKUP(C73,실!$D:$D,실!$B:$B,""))</f>
        <v/>
      </c>
      <c r="L73" s="48">
        <f>COUNTIFS(개구부!C:C, B73, 개구부!D:D, "window")</f>
        <v>0</v>
      </c>
      <c r="M73" s="48">
        <f>COUNTIFS(개구부!C:C, B73, 개구부!D:D, "&lt;&gt;window")</f>
        <v>0</v>
      </c>
    </row>
    <row r="74" spans="2:13" ht="18" customHeight="1">
      <c r="B74" s="6"/>
      <c r="C74" s="6"/>
      <c r="D74" s="6"/>
      <c r="E74" s="6"/>
      <c r="F74" s="6"/>
      <c r="G74" s="6"/>
      <c r="H74" s="6"/>
      <c r="I74" s="31"/>
      <c r="J74" s="31"/>
      <c r="K74" s="61" t="str">
        <f>IF(C74="","",_xlfn.XLOOKUP(C74,실!$D:$D,실!$B:$B,""))</f>
        <v/>
      </c>
      <c r="L74" s="48">
        <f>COUNTIFS(개구부!C:C, B74, 개구부!D:D, "window")</f>
        <v>0</v>
      </c>
      <c r="M74" s="48">
        <f>COUNTIFS(개구부!C:C, B74, 개구부!D:D, "&lt;&gt;window")</f>
        <v>0</v>
      </c>
    </row>
    <row r="75" spans="2:13" ht="18" customHeight="1">
      <c r="B75" s="6"/>
      <c r="C75" s="6"/>
      <c r="D75" s="6"/>
      <c r="E75" s="6"/>
      <c r="F75" s="6"/>
      <c r="G75" s="6"/>
      <c r="H75" s="6"/>
      <c r="I75" s="31"/>
      <c r="J75" s="31"/>
      <c r="K75" s="61" t="str">
        <f>IF(C75="","",_xlfn.XLOOKUP(C75,실!$D:$D,실!$B:$B,""))</f>
        <v/>
      </c>
      <c r="L75" s="48">
        <f>COUNTIFS(개구부!C:C, B75, 개구부!D:D, "window")</f>
        <v>0</v>
      </c>
      <c r="M75" s="48">
        <f>COUNTIFS(개구부!C:C, B75, 개구부!D:D, "&lt;&gt;window")</f>
        <v>0</v>
      </c>
    </row>
    <row r="76" spans="2:13" ht="18" customHeight="1">
      <c r="B76" s="6"/>
      <c r="C76" s="6"/>
      <c r="D76" s="6"/>
      <c r="E76" s="6"/>
      <c r="F76" s="6"/>
      <c r="G76" s="6"/>
      <c r="H76" s="6"/>
      <c r="I76" s="31"/>
      <c r="J76" s="31"/>
      <c r="K76" s="61" t="str">
        <f>IF(C76="","",_xlfn.XLOOKUP(C76,실!$D:$D,실!$B:$B,""))</f>
        <v/>
      </c>
      <c r="L76" s="48">
        <f>COUNTIFS(개구부!C:C, B76, 개구부!D:D, "window")</f>
        <v>0</v>
      </c>
      <c r="M76" s="48">
        <f>COUNTIFS(개구부!C:C, B76, 개구부!D:D, "&lt;&gt;window")</f>
        <v>0</v>
      </c>
    </row>
    <row r="77" spans="2:13" ht="18" customHeight="1">
      <c r="B77" s="6"/>
      <c r="C77" s="6"/>
      <c r="D77" s="6"/>
      <c r="E77" s="6"/>
      <c r="F77" s="6"/>
      <c r="G77" s="6"/>
      <c r="H77" s="6"/>
      <c r="I77" s="31"/>
      <c r="J77" s="31"/>
      <c r="K77" s="61" t="str">
        <f>IF(C77="","",_xlfn.XLOOKUP(C77,실!$D:$D,실!$B:$B,""))</f>
        <v/>
      </c>
      <c r="L77" s="48">
        <f>COUNTIFS(개구부!C:C, B77, 개구부!D:D, "window")</f>
        <v>0</v>
      </c>
      <c r="M77" s="48">
        <f>COUNTIFS(개구부!C:C, B77, 개구부!D:D, "&lt;&gt;window")</f>
        <v>0</v>
      </c>
    </row>
    <row r="78" spans="2:13" ht="18" customHeight="1">
      <c r="B78" s="6"/>
      <c r="C78" s="6"/>
      <c r="D78" s="6"/>
      <c r="E78" s="6"/>
      <c r="F78" s="6"/>
      <c r="G78" s="6"/>
      <c r="H78" s="6"/>
      <c r="I78" s="31"/>
      <c r="J78" s="31"/>
      <c r="K78" s="61" t="str">
        <f>IF(C78="","",_xlfn.XLOOKUP(C78,실!$D:$D,실!$B:$B,""))</f>
        <v/>
      </c>
      <c r="L78" s="48">
        <f>COUNTIFS(개구부!C:C, B78, 개구부!D:D, "window")</f>
        <v>0</v>
      </c>
      <c r="M78" s="48">
        <f>COUNTIFS(개구부!C:C, B78, 개구부!D:D, "&lt;&gt;window")</f>
        <v>0</v>
      </c>
    </row>
    <row r="79" spans="2:13" ht="18" customHeight="1">
      <c r="B79" s="6"/>
      <c r="C79" s="6"/>
      <c r="D79" s="6"/>
      <c r="E79" s="6"/>
      <c r="F79" s="6"/>
      <c r="G79" s="6"/>
      <c r="H79" s="6"/>
      <c r="I79" s="31"/>
      <c r="J79" s="31"/>
      <c r="K79" s="61" t="str">
        <f>IF(C79="","",_xlfn.XLOOKUP(C79,실!$D:$D,실!$B:$B,""))</f>
        <v/>
      </c>
      <c r="L79" s="48">
        <f>COUNTIFS(개구부!C:C, B79, 개구부!D:D, "window")</f>
        <v>0</v>
      </c>
      <c r="M79" s="48">
        <f>COUNTIFS(개구부!C:C, B79, 개구부!D:D, "&lt;&gt;window")</f>
        <v>0</v>
      </c>
    </row>
    <row r="80" spans="2:13" ht="18" customHeight="1">
      <c r="B80" s="6"/>
      <c r="C80" s="6"/>
      <c r="D80" s="6"/>
      <c r="E80" s="6"/>
      <c r="F80" s="6"/>
      <c r="G80" s="6"/>
      <c r="H80" s="6"/>
      <c r="I80" s="31"/>
      <c r="J80" s="31"/>
      <c r="K80" s="61" t="str">
        <f>IF(C80="","",_xlfn.XLOOKUP(C80,실!$D:$D,실!$B:$B,""))</f>
        <v/>
      </c>
      <c r="L80" s="48">
        <f>COUNTIFS(개구부!C:C, B80, 개구부!D:D, "window")</f>
        <v>0</v>
      </c>
      <c r="M80" s="48">
        <f>COUNTIFS(개구부!C:C, B80, 개구부!D:D, "&lt;&gt;window")</f>
        <v>0</v>
      </c>
    </row>
    <row r="81" spans="2:13" ht="18" customHeight="1">
      <c r="B81" s="6"/>
      <c r="C81" s="6"/>
      <c r="D81" s="6"/>
      <c r="E81" s="6"/>
      <c r="F81" s="6"/>
      <c r="G81" s="6"/>
      <c r="H81" s="6"/>
      <c r="I81" s="31"/>
      <c r="J81" s="31"/>
      <c r="K81" s="61" t="str">
        <f>IF(C81="","",_xlfn.XLOOKUP(C81,실!$D:$D,실!$B:$B,""))</f>
        <v/>
      </c>
      <c r="L81" s="48">
        <f>COUNTIFS(개구부!C:C, B81, 개구부!D:D, "window")</f>
        <v>0</v>
      </c>
      <c r="M81" s="48">
        <f>COUNTIFS(개구부!C:C, B81, 개구부!D:D, "&lt;&gt;window")</f>
        <v>0</v>
      </c>
    </row>
    <row r="82" spans="2:13" ht="18" customHeight="1">
      <c r="B82" s="6"/>
      <c r="C82" s="6"/>
      <c r="D82" s="6"/>
      <c r="E82" s="6"/>
      <c r="F82" s="6"/>
      <c r="G82" s="6"/>
      <c r="H82" s="6"/>
      <c r="I82" s="31"/>
      <c r="J82" s="31"/>
      <c r="K82" s="61" t="str">
        <f>IF(C82="","",_xlfn.XLOOKUP(C82,실!$D:$D,실!$B:$B,""))</f>
        <v/>
      </c>
      <c r="L82" s="48">
        <f>COUNTIFS(개구부!C:C, B82, 개구부!D:D, "window")</f>
        <v>0</v>
      </c>
      <c r="M82" s="48">
        <f>COUNTIFS(개구부!C:C, B82, 개구부!D:D, "&lt;&gt;window")</f>
        <v>0</v>
      </c>
    </row>
    <row r="83" spans="2:13" ht="18" customHeight="1">
      <c r="B83" s="6"/>
      <c r="C83" s="6"/>
      <c r="D83" s="6"/>
      <c r="E83" s="6"/>
      <c r="F83" s="6"/>
      <c r="G83" s="6"/>
      <c r="H83" s="6"/>
      <c r="I83" s="31"/>
      <c r="J83" s="31"/>
      <c r="K83" s="61" t="str">
        <f>IF(C83="","",_xlfn.XLOOKUP(C83,실!$D:$D,실!$B:$B,""))</f>
        <v/>
      </c>
      <c r="L83" s="48">
        <f>COUNTIFS(개구부!C:C, B83, 개구부!D:D, "window")</f>
        <v>0</v>
      </c>
      <c r="M83" s="48">
        <f>COUNTIFS(개구부!C:C, B83, 개구부!D:D, "&lt;&gt;window")</f>
        <v>0</v>
      </c>
    </row>
    <row r="84" spans="2:13" ht="18" customHeight="1">
      <c r="B84" s="6"/>
      <c r="C84" s="6"/>
      <c r="D84" s="6"/>
      <c r="E84" s="6"/>
      <c r="F84" s="6"/>
      <c r="G84" s="6"/>
      <c r="H84" s="6"/>
      <c r="I84" s="31"/>
      <c r="J84" s="31"/>
      <c r="K84" s="61" t="str">
        <f>IF(C84="","",_xlfn.XLOOKUP(C84,실!$D:$D,실!$B:$B,""))</f>
        <v/>
      </c>
      <c r="L84" s="48">
        <f>COUNTIFS(개구부!C:C, B84, 개구부!D:D, "window")</f>
        <v>0</v>
      </c>
      <c r="M84" s="48">
        <f>COUNTIFS(개구부!C:C, B84, 개구부!D:D, "&lt;&gt;window")</f>
        <v>0</v>
      </c>
    </row>
    <row r="85" spans="2:13" ht="18" customHeight="1">
      <c r="B85" s="6"/>
      <c r="C85" s="6"/>
      <c r="D85" s="6"/>
      <c r="E85" s="6"/>
      <c r="F85" s="6"/>
      <c r="G85" s="6"/>
      <c r="H85" s="6"/>
      <c r="I85" s="31"/>
      <c r="J85" s="31"/>
      <c r="K85" s="61" t="str">
        <f>IF(C85="","",_xlfn.XLOOKUP(C85,실!$D:$D,실!$B:$B,""))</f>
        <v/>
      </c>
      <c r="L85" s="48">
        <f>COUNTIFS(개구부!C:C, B85, 개구부!D:D, "window")</f>
        <v>0</v>
      </c>
      <c r="M85" s="48">
        <f>COUNTIFS(개구부!C:C, B85, 개구부!D:D, "&lt;&gt;window")</f>
        <v>0</v>
      </c>
    </row>
    <row r="86" spans="2:13" ht="18" customHeight="1">
      <c r="B86" s="6"/>
      <c r="C86" s="6"/>
      <c r="D86" s="6"/>
      <c r="E86" s="6"/>
      <c r="F86" s="6"/>
      <c r="G86" s="6"/>
      <c r="H86" s="6"/>
      <c r="I86" s="31"/>
      <c r="J86" s="31"/>
      <c r="K86" s="61" t="str">
        <f>IF(C86="","",_xlfn.XLOOKUP(C86,실!$D:$D,실!$B:$B,""))</f>
        <v/>
      </c>
      <c r="L86" s="48">
        <f>COUNTIFS(개구부!C:C, B86, 개구부!D:D, "window")</f>
        <v>0</v>
      </c>
      <c r="M86" s="48">
        <f>COUNTIFS(개구부!C:C, B86, 개구부!D:D, "&lt;&gt;window")</f>
        <v>0</v>
      </c>
    </row>
    <row r="87" spans="2:13" ht="18" customHeight="1">
      <c r="B87" s="6"/>
      <c r="C87" s="6"/>
      <c r="D87" s="6"/>
      <c r="E87" s="6"/>
      <c r="F87" s="6"/>
      <c r="G87" s="6"/>
      <c r="H87" s="6"/>
      <c r="I87" s="31"/>
      <c r="J87" s="31"/>
      <c r="K87" s="61" t="str">
        <f>IF(C87="","",_xlfn.XLOOKUP(C87,실!$D:$D,실!$B:$B,""))</f>
        <v/>
      </c>
      <c r="L87" s="48">
        <f>COUNTIFS(개구부!C:C, B87, 개구부!D:D, "window")</f>
        <v>0</v>
      </c>
      <c r="M87" s="48">
        <f>COUNTIFS(개구부!C:C, B87, 개구부!D:D, "&lt;&gt;window")</f>
        <v>0</v>
      </c>
    </row>
    <row r="88" spans="2:13" ht="18" customHeight="1">
      <c r="B88" s="6"/>
      <c r="C88" s="6"/>
      <c r="D88" s="6"/>
      <c r="E88" s="6"/>
      <c r="F88" s="6"/>
      <c r="G88" s="6"/>
      <c r="H88" s="6"/>
      <c r="I88" s="31"/>
      <c r="J88" s="31"/>
      <c r="K88" s="61" t="str">
        <f>IF(C88="","",_xlfn.XLOOKUP(C88,실!$D:$D,실!$B:$B,""))</f>
        <v/>
      </c>
      <c r="L88" s="48">
        <f>COUNTIFS(개구부!C:C, B88, 개구부!D:D, "window")</f>
        <v>0</v>
      </c>
      <c r="M88" s="48">
        <f>COUNTIFS(개구부!C:C, B88, 개구부!D:D, "&lt;&gt;window")</f>
        <v>0</v>
      </c>
    </row>
    <row r="89" spans="2:13" ht="18" customHeight="1">
      <c r="B89" s="6"/>
      <c r="C89" s="6"/>
      <c r="D89" s="6"/>
      <c r="E89" s="6"/>
      <c r="F89" s="6"/>
      <c r="G89" s="6"/>
      <c r="H89" s="6"/>
      <c r="I89" s="31"/>
      <c r="J89" s="31"/>
      <c r="K89" s="61" t="str">
        <f>IF(C89="","",_xlfn.XLOOKUP(C89,실!$D:$D,실!$B:$B,""))</f>
        <v/>
      </c>
      <c r="L89" s="48">
        <f>COUNTIFS(개구부!C:C, B89, 개구부!D:D, "window")</f>
        <v>0</v>
      </c>
      <c r="M89" s="48">
        <f>COUNTIFS(개구부!C:C, B89, 개구부!D:D, "&lt;&gt;window")</f>
        <v>0</v>
      </c>
    </row>
    <row r="90" spans="2:13" ht="18" customHeight="1">
      <c r="B90" s="6"/>
      <c r="C90" s="6"/>
      <c r="D90" s="6"/>
      <c r="E90" s="6"/>
      <c r="F90" s="6"/>
      <c r="G90" s="6"/>
      <c r="H90" s="6"/>
      <c r="I90" s="31"/>
      <c r="J90" s="31"/>
      <c r="K90" s="61" t="str">
        <f>IF(C90="","",_xlfn.XLOOKUP(C90,실!$D:$D,실!$B:$B,""))</f>
        <v/>
      </c>
      <c r="L90" s="48">
        <f>COUNTIFS(개구부!C:C, B90, 개구부!D:D, "window")</f>
        <v>0</v>
      </c>
      <c r="M90" s="48">
        <f>COUNTIFS(개구부!C:C, B90, 개구부!D:D, "&lt;&gt;window")</f>
        <v>0</v>
      </c>
    </row>
    <row r="91" spans="2:13" ht="18" customHeight="1">
      <c r="B91" s="6"/>
      <c r="C91" s="6"/>
      <c r="D91" s="6"/>
      <c r="E91" s="6"/>
      <c r="F91" s="6"/>
      <c r="G91" s="6"/>
      <c r="H91" s="6"/>
      <c r="I91" s="31"/>
      <c r="J91" s="31"/>
      <c r="K91" s="61" t="str">
        <f>IF(C91="","",_xlfn.XLOOKUP(C91,실!$D:$D,실!$B:$B,""))</f>
        <v/>
      </c>
      <c r="L91" s="48">
        <f>COUNTIFS(개구부!C:C, B91, 개구부!D:D, "window")</f>
        <v>0</v>
      </c>
      <c r="M91" s="48">
        <f>COUNTIFS(개구부!C:C, B91, 개구부!D:D, "&lt;&gt;window")</f>
        <v>0</v>
      </c>
    </row>
    <row r="92" spans="2:13" ht="18" customHeight="1">
      <c r="B92" s="6"/>
      <c r="C92" s="6"/>
      <c r="D92" s="6"/>
      <c r="E92" s="6"/>
      <c r="F92" s="6"/>
      <c r="G92" s="6"/>
      <c r="H92" s="6"/>
      <c r="I92" s="31"/>
      <c r="J92" s="31"/>
      <c r="K92" s="61" t="str">
        <f>IF(C92="","",_xlfn.XLOOKUP(C92,실!$D:$D,실!$B:$B,""))</f>
        <v/>
      </c>
      <c r="L92" s="48">
        <f>COUNTIFS(개구부!C:C, B92, 개구부!D:D, "window")</f>
        <v>0</v>
      </c>
      <c r="M92" s="48">
        <f>COUNTIFS(개구부!C:C, B92, 개구부!D:D, "&lt;&gt;window")</f>
        <v>0</v>
      </c>
    </row>
    <row r="93" spans="2:13" ht="18" customHeight="1">
      <c r="B93" s="6"/>
      <c r="C93" s="6"/>
      <c r="D93" s="6"/>
      <c r="E93" s="6"/>
      <c r="F93" s="6"/>
      <c r="G93" s="6"/>
      <c r="H93" s="6"/>
      <c r="I93" s="31"/>
      <c r="J93" s="31"/>
      <c r="K93" s="61" t="str">
        <f>IF(C93="","",_xlfn.XLOOKUP(C93,실!$D:$D,실!$B:$B,""))</f>
        <v/>
      </c>
      <c r="L93" s="48">
        <f>COUNTIFS(개구부!C:C, B93, 개구부!D:D, "window")</f>
        <v>0</v>
      </c>
      <c r="M93" s="48">
        <f>COUNTIFS(개구부!C:C, B93, 개구부!D:D, "&lt;&gt;window")</f>
        <v>0</v>
      </c>
    </row>
    <row r="94" spans="2:13" ht="18" customHeight="1">
      <c r="B94" s="6"/>
      <c r="C94" s="6"/>
      <c r="D94" s="6"/>
      <c r="E94" s="6"/>
      <c r="F94" s="6"/>
      <c r="G94" s="6"/>
      <c r="H94" s="6"/>
      <c r="I94" s="31"/>
      <c r="J94" s="31"/>
      <c r="K94" s="61" t="str">
        <f>IF(C94="","",_xlfn.XLOOKUP(C94,실!$D:$D,실!$B:$B,""))</f>
        <v/>
      </c>
      <c r="L94" s="48">
        <f>COUNTIFS(개구부!C:C, B94, 개구부!D:D, "window")</f>
        <v>0</v>
      </c>
      <c r="M94" s="48">
        <f>COUNTIFS(개구부!C:C, B94, 개구부!D:D, "&lt;&gt;window")</f>
        <v>0</v>
      </c>
    </row>
    <row r="95" spans="2:13" ht="18" customHeight="1">
      <c r="B95" s="6"/>
      <c r="C95" s="6"/>
      <c r="D95" s="6"/>
      <c r="E95" s="6"/>
      <c r="F95" s="6"/>
      <c r="G95" s="6"/>
      <c r="H95" s="6"/>
      <c r="I95" s="31"/>
      <c r="J95" s="31"/>
      <c r="K95" s="61" t="str">
        <f>IF(C95="","",_xlfn.XLOOKUP(C95,실!$D:$D,실!$B:$B,""))</f>
        <v/>
      </c>
      <c r="L95" s="48">
        <f>COUNTIFS(개구부!C:C, B95, 개구부!D:D, "window")</f>
        <v>0</v>
      </c>
      <c r="M95" s="48">
        <f>COUNTIFS(개구부!C:C, B95, 개구부!D:D, "&lt;&gt;window")</f>
        <v>0</v>
      </c>
    </row>
    <row r="96" spans="2:13" ht="18" customHeight="1">
      <c r="B96" s="6"/>
      <c r="C96" s="6"/>
      <c r="D96" s="6"/>
      <c r="E96" s="6"/>
      <c r="F96" s="6"/>
      <c r="G96" s="6"/>
      <c r="H96" s="6"/>
      <c r="I96" s="31"/>
      <c r="J96" s="31"/>
      <c r="K96" s="61" t="str">
        <f>IF(C96="","",_xlfn.XLOOKUP(C96,실!$D:$D,실!$B:$B,""))</f>
        <v/>
      </c>
      <c r="L96" s="48">
        <f>COUNTIFS(개구부!C:C, B96, 개구부!D:D, "window")</f>
        <v>0</v>
      </c>
      <c r="M96" s="48">
        <f>COUNTIFS(개구부!C:C, B96, 개구부!D:D, "&lt;&gt;window")</f>
        <v>0</v>
      </c>
    </row>
    <row r="97" spans="2:13" ht="18" customHeight="1">
      <c r="B97" s="6"/>
      <c r="C97" s="6"/>
      <c r="D97" s="6"/>
      <c r="E97" s="6"/>
      <c r="F97" s="6"/>
      <c r="G97" s="6"/>
      <c r="H97" s="6"/>
      <c r="I97" s="31"/>
      <c r="J97" s="31"/>
      <c r="K97" s="61" t="str">
        <f>IF(C97="","",_xlfn.XLOOKUP(C97,실!$D:$D,실!$B:$B,""))</f>
        <v/>
      </c>
      <c r="L97" s="48">
        <f>COUNTIFS(개구부!C:C, B97, 개구부!D:D, "window")</f>
        <v>0</v>
      </c>
      <c r="M97" s="48">
        <f>COUNTIFS(개구부!C:C, B97, 개구부!D:D, "&lt;&gt;window")</f>
        <v>0</v>
      </c>
    </row>
    <row r="98" spans="2:13" ht="18" customHeight="1">
      <c r="B98" s="6"/>
      <c r="C98" s="6"/>
      <c r="D98" s="6"/>
      <c r="E98" s="6"/>
      <c r="F98" s="6"/>
      <c r="G98" s="6"/>
      <c r="H98" s="6"/>
      <c r="I98" s="31"/>
      <c r="J98" s="31"/>
      <c r="K98" s="61" t="str">
        <f>IF(C98="","",_xlfn.XLOOKUP(C98,실!$D:$D,실!$B:$B,""))</f>
        <v/>
      </c>
      <c r="L98" s="48">
        <f>COUNTIFS(개구부!C:C, B98, 개구부!D:D, "window")</f>
        <v>0</v>
      </c>
      <c r="M98" s="48">
        <f>COUNTIFS(개구부!C:C, B98, 개구부!D:D, "&lt;&gt;window")</f>
        <v>0</v>
      </c>
    </row>
    <row r="99" spans="2:13" ht="18" customHeight="1">
      <c r="B99" s="6"/>
      <c r="C99" s="6"/>
      <c r="D99" s="6"/>
      <c r="E99" s="6"/>
      <c r="F99" s="6"/>
      <c r="G99" s="6"/>
      <c r="H99" s="6"/>
      <c r="I99" s="31"/>
      <c r="J99" s="31"/>
      <c r="K99" s="61" t="str">
        <f>IF(C99="","",_xlfn.XLOOKUP(C99,실!$D:$D,실!$B:$B,""))</f>
        <v/>
      </c>
      <c r="L99" s="48">
        <f>COUNTIFS(개구부!C:C, B99, 개구부!D:D, "window")</f>
        <v>0</v>
      </c>
      <c r="M99" s="48">
        <f>COUNTIFS(개구부!C:C, B99, 개구부!D:D, "&lt;&gt;window")</f>
        <v>0</v>
      </c>
    </row>
    <row r="100" spans="2:13" ht="18" customHeight="1">
      <c r="B100" s="6"/>
      <c r="C100" s="6"/>
      <c r="D100" s="6"/>
      <c r="E100" s="6"/>
      <c r="F100" s="6"/>
      <c r="G100" s="6"/>
      <c r="H100" s="6"/>
      <c r="I100" s="31"/>
      <c r="J100" s="31"/>
      <c r="K100" s="61" t="str">
        <f>IF(C100="","",_xlfn.XLOOKUP(C100,실!$D:$D,실!$B:$B,""))</f>
        <v/>
      </c>
      <c r="L100" s="48">
        <f>COUNTIFS(개구부!C:C, B100, 개구부!D:D, "window")</f>
        <v>0</v>
      </c>
      <c r="M100" s="48">
        <f>COUNTIFS(개구부!C:C, B100, 개구부!D:D, "&lt;&gt;window")</f>
        <v>0</v>
      </c>
    </row>
    <row r="101" spans="2:13" ht="18" customHeight="1">
      <c r="B101" s="6"/>
      <c r="C101" s="6"/>
      <c r="D101" s="6"/>
      <c r="E101" s="6"/>
      <c r="F101" s="6"/>
      <c r="G101" s="6"/>
      <c r="H101" s="6"/>
      <c r="I101" s="31"/>
      <c r="J101" s="31"/>
      <c r="K101" s="61" t="str">
        <f>IF(C101="","",_xlfn.XLOOKUP(C101,실!$D:$D,실!$B:$B,""))</f>
        <v/>
      </c>
      <c r="L101" s="48">
        <f>COUNTIFS(개구부!C:C, B101, 개구부!D:D, "window")</f>
        <v>0</v>
      </c>
      <c r="M101" s="48">
        <f>COUNTIFS(개구부!C:C, B101, 개구부!D:D, "&lt;&gt;window")</f>
        <v>0</v>
      </c>
    </row>
    <row r="102" spans="2:13" ht="18" customHeight="1">
      <c r="B102" s="6"/>
      <c r="C102" s="6"/>
      <c r="D102" s="6"/>
      <c r="E102" s="6"/>
      <c r="F102" s="6"/>
      <c r="G102" s="6"/>
      <c r="H102" s="6"/>
      <c r="I102" s="31"/>
      <c r="J102" s="31"/>
      <c r="K102" s="61" t="str">
        <f>IF(C102="","",_xlfn.XLOOKUP(C102,실!$D:$D,실!$B:$B,""))</f>
        <v/>
      </c>
      <c r="L102" s="48">
        <f>COUNTIFS(개구부!C:C, B102, 개구부!D:D, "window")</f>
        <v>0</v>
      </c>
      <c r="M102" s="48">
        <f>COUNTIFS(개구부!C:C, B102, 개구부!D:D, "&lt;&gt;window")</f>
        <v>0</v>
      </c>
    </row>
    <row r="103" spans="2:13" ht="18" customHeight="1">
      <c r="B103" s="6"/>
      <c r="C103" s="6"/>
      <c r="D103" s="6"/>
      <c r="E103" s="6"/>
      <c r="F103" s="6"/>
      <c r="G103" s="6"/>
      <c r="H103" s="6"/>
      <c r="I103" s="31"/>
      <c r="J103" s="31"/>
      <c r="K103" s="61" t="str">
        <f>IF(C103="","",_xlfn.XLOOKUP(C103,실!$D:$D,실!$B:$B,""))</f>
        <v/>
      </c>
      <c r="L103" s="48">
        <f>COUNTIFS(개구부!C:C, B103, 개구부!D:D, "window")</f>
        <v>0</v>
      </c>
      <c r="M103" s="48">
        <f>COUNTIFS(개구부!C:C, B103, 개구부!D:D, "&lt;&gt;window")</f>
        <v>0</v>
      </c>
    </row>
    <row r="104" spans="2:13" ht="18" customHeight="1">
      <c r="B104" s="6"/>
      <c r="C104" s="6"/>
      <c r="D104" s="6"/>
      <c r="E104" s="6"/>
      <c r="F104" s="6"/>
      <c r="G104" s="6"/>
      <c r="H104" s="6"/>
      <c r="I104" s="31"/>
      <c r="J104" s="31"/>
      <c r="K104" s="61" t="str">
        <f>IF(C104="","",_xlfn.XLOOKUP(C104,실!$D:$D,실!$B:$B,""))</f>
        <v/>
      </c>
      <c r="L104" s="48">
        <f>COUNTIFS(개구부!C:C, B104, 개구부!D:D, "window")</f>
        <v>0</v>
      </c>
      <c r="M104" s="48">
        <f>COUNTIFS(개구부!C:C, B104, 개구부!D:D, "&lt;&gt;window")</f>
        <v>0</v>
      </c>
    </row>
    <row r="105" spans="2:13" ht="18" customHeight="1">
      <c r="B105" s="6"/>
      <c r="C105" s="6"/>
      <c r="D105" s="6"/>
      <c r="E105" s="6"/>
      <c r="F105" s="6"/>
      <c r="G105" s="6"/>
      <c r="H105" s="6"/>
      <c r="I105" s="31"/>
      <c r="J105" s="31"/>
      <c r="K105" s="61" t="str">
        <f>IF(C105="","",_xlfn.XLOOKUP(C105,실!$D:$D,실!$B:$B,""))</f>
        <v/>
      </c>
      <c r="L105" s="48">
        <f>COUNTIFS(개구부!C:C, B105, 개구부!D:D, "window")</f>
        <v>0</v>
      </c>
      <c r="M105" s="48">
        <f>COUNTIFS(개구부!C:C, B105, 개구부!D:D, "&lt;&gt;window")</f>
        <v>0</v>
      </c>
    </row>
    <row r="106" spans="2:13" ht="18" customHeight="1">
      <c r="B106" s="6"/>
      <c r="C106" s="6"/>
      <c r="D106" s="6"/>
      <c r="E106" s="6"/>
      <c r="F106" s="6"/>
      <c r="G106" s="6"/>
      <c r="H106" s="6"/>
      <c r="I106" s="31"/>
      <c r="J106" s="31"/>
      <c r="K106" s="61" t="str">
        <f>IF(C106="","",_xlfn.XLOOKUP(C106,실!$D:$D,실!$B:$B,""))</f>
        <v/>
      </c>
      <c r="L106" s="48">
        <f>COUNTIFS(개구부!C:C, B106, 개구부!D:D, "window")</f>
        <v>0</v>
      </c>
      <c r="M106" s="48">
        <f>COUNTIFS(개구부!C:C, B106, 개구부!D:D, "&lt;&gt;window")</f>
        <v>0</v>
      </c>
    </row>
    <row r="107" spans="2:13" ht="18" customHeight="1">
      <c r="B107" s="6"/>
      <c r="C107" s="6"/>
      <c r="D107" s="6"/>
      <c r="E107" s="6"/>
      <c r="F107" s="6"/>
      <c r="G107" s="6"/>
      <c r="H107" s="6"/>
      <c r="I107" s="31"/>
      <c r="J107" s="31"/>
      <c r="K107" s="61" t="str">
        <f>IF(C107="","",_xlfn.XLOOKUP(C107,실!$D:$D,실!$B:$B,""))</f>
        <v/>
      </c>
      <c r="L107" s="48">
        <f>COUNTIFS(개구부!C:C, B107, 개구부!D:D, "window")</f>
        <v>0</v>
      </c>
      <c r="M107" s="48">
        <f>COUNTIFS(개구부!C:C, B107, 개구부!D:D, "&lt;&gt;window")</f>
        <v>0</v>
      </c>
    </row>
    <row r="108" spans="2:13" ht="18" customHeight="1">
      <c r="B108" s="6"/>
      <c r="C108" s="6"/>
      <c r="D108" s="6"/>
      <c r="E108" s="6"/>
      <c r="F108" s="6"/>
      <c r="G108" s="6"/>
      <c r="H108" s="6"/>
      <c r="I108" s="31"/>
      <c r="J108" s="31"/>
      <c r="K108" s="61" t="str">
        <f>IF(C108="","",_xlfn.XLOOKUP(C108,실!$D:$D,실!$B:$B,""))</f>
        <v/>
      </c>
      <c r="L108" s="48">
        <f>COUNTIFS(개구부!C:C, B108, 개구부!D:D, "window")</f>
        <v>0</v>
      </c>
      <c r="M108" s="48">
        <f>COUNTIFS(개구부!C:C, B108, 개구부!D:D, "&lt;&gt;window")</f>
        <v>0</v>
      </c>
    </row>
    <row r="109" spans="2:13" ht="18" customHeight="1">
      <c r="B109" s="6"/>
      <c r="C109" s="6"/>
      <c r="D109" s="6"/>
      <c r="E109" s="6"/>
      <c r="F109" s="6"/>
      <c r="G109" s="6"/>
      <c r="H109" s="6"/>
      <c r="I109" s="31"/>
      <c r="J109" s="31"/>
      <c r="K109" s="61" t="str">
        <f>IF(C109="","",_xlfn.XLOOKUP(C109,실!$D:$D,실!$B:$B,""))</f>
        <v/>
      </c>
      <c r="L109" s="48">
        <f>COUNTIFS(개구부!C:C, B109, 개구부!D:D, "window")</f>
        <v>0</v>
      </c>
      <c r="M109" s="48">
        <f>COUNTIFS(개구부!C:C, B109, 개구부!D:D, "&lt;&gt;window")</f>
        <v>0</v>
      </c>
    </row>
    <row r="110" spans="2:13" ht="18" customHeight="1">
      <c r="B110" s="6"/>
      <c r="C110" s="6"/>
      <c r="D110" s="6"/>
      <c r="E110" s="6"/>
      <c r="F110" s="6"/>
      <c r="G110" s="6"/>
      <c r="H110" s="6"/>
      <c r="I110" s="31"/>
      <c r="J110" s="31"/>
      <c r="K110" s="61" t="str">
        <f>IF(C110="","",_xlfn.XLOOKUP(C110,실!$D:$D,실!$B:$B,""))</f>
        <v/>
      </c>
      <c r="L110" s="48">
        <f>COUNTIFS(개구부!C:C, B110, 개구부!D:D, "window")</f>
        <v>0</v>
      </c>
      <c r="M110" s="48">
        <f>COUNTIFS(개구부!C:C, B110, 개구부!D:D, "&lt;&gt;window")</f>
        <v>0</v>
      </c>
    </row>
    <row r="111" spans="2:13" ht="18" customHeight="1">
      <c r="B111" s="6"/>
      <c r="C111" s="6"/>
      <c r="D111" s="6"/>
      <c r="E111" s="6"/>
      <c r="F111" s="6"/>
      <c r="G111" s="6"/>
      <c r="H111" s="6"/>
      <c r="I111" s="31"/>
      <c r="J111" s="31"/>
      <c r="K111" s="61" t="str">
        <f>IF(C111="","",_xlfn.XLOOKUP(C111,실!$D:$D,실!$B:$B,""))</f>
        <v/>
      </c>
      <c r="L111" s="48">
        <f>COUNTIFS(개구부!C:C, B111, 개구부!D:D, "window")</f>
        <v>0</v>
      </c>
      <c r="M111" s="48">
        <f>COUNTIFS(개구부!C:C, B111, 개구부!D:D, "&lt;&gt;window")</f>
        <v>0</v>
      </c>
    </row>
    <row r="112" spans="2:13" ht="18" customHeight="1">
      <c r="B112" s="6"/>
      <c r="C112" s="6"/>
      <c r="D112" s="6"/>
      <c r="E112" s="6"/>
      <c r="F112" s="6"/>
      <c r="G112" s="6"/>
      <c r="H112" s="6"/>
      <c r="I112" s="31"/>
      <c r="J112" s="31"/>
      <c r="K112" s="61" t="str">
        <f>IF(C112="","",_xlfn.XLOOKUP(C112,실!$D:$D,실!$B:$B,""))</f>
        <v/>
      </c>
      <c r="L112" s="48">
        <f>COUNTIFS(개구부!C:C, B112, 개구부!D:D, "window")</f>
        <v>0</v>
      </c>
      <c r="M112" s="48">
        <f>COUNTIFS(개구부!C:C, B112, 개구부!D:D, "&lt;&gt;window")</f>
        <v>0</v>
      </c>
    </row>
    <row r="113" spans="2:13" ht="18" customHeight="1">
      <c r="B113" s="6"/>
      <c r="C113" s="6"/>
      <c r="D113" s="6"/>
      <c r="E113" s="6"/>
      <c r="F113" s="6"/>
      <c r="G113" s="6"/>
      <c r="H113" s="6"/>
      <c r="I113" s="31"/>
      <c r="J113" s="31"/>
      <c r="K113" s="61" t="str">
        <f>IF(C113="","",_xlfn.XLOOKUP(C113,실!$D:$D,실!$B:$B,""))</f>
        <v/>
      </c>
      <c r="L113" s="48">
        <f>COUNTIFS(개구부!C:C, B113, 개구부!D:D, "window")</f>
        <v>0</v>
      </c>
      <c r="M113" s="48">
        <f>COUNTIFS(개구부!C:C, B113, 개구부!D:D, "&lt;&gt;window")</f>
        <v>0</v>
      </c>
    </row>
    <row r="114" spans="2:13" ht="18" customHeight="1">
      <c r="B114" s="6"/>
      <c r="C114" s="6"/>
      <c r="D114" s="6"/>
      <c r="E114" s="6"/>
      <c r="F114" s="6"/>
      <c r="G114" s="6"/>
      <c r="H114" s="6"/>
      <c r="I114" s="31"/>
      <c r="J114" s="31"/>
      <c r="K114" s="61" t="str">
        <f>IF(C114="","",_xlfn.XLOOKUP(C114,실!$D:$D,실!$B:$B,""))</f>
        <v/>
      </c>
      <c r="L114" s="48">
        <f>COUNTIFS(개구부!C:C, B114, 개구부!D:D, "window")</f>
        <v>0</v>
      </c>
      <c r="M114" s="48">
        <f>COUNTIFS(개구부!C:C, B114, 개구부!D:D, "&lt;&gt;window")</f>
        <v>0</v>
      </c>
    </row>
    <row r="115" spans="2:13" ht="18" customHeight="1">
      <c r="B115" s="6"/>
      <c r="C115" s="6"/>
      <c r="D115" s="6"/>
      <c r="E115" s="6"/>
      <c r="F115" s="6"/>
      <c r="G115" s="6"/>
      <c r="H115" s="6"/>
      <c r="I115" s="31"/>
      <c r="J115" s="31"/>
      <c r="K115" s="61" t="str">
        <f>IF(C115="","",_xlfn.XLOOKUP(C115,실!$D:$D,실!$B:$B,""))</f>
        <v/>
      </c>
      <c r="L115" s="48">
        <f>COUNTIFS(개구부!C:C, B115, 개구부!D:D, "window")</f>
        <v>0</v>
      </c>
      <c r="M115" s="48">
        <f>COUNTIFS(개구부!C:C, B115, 개구부!D:D, "&lt;&gt;window")</f>
        <v>0</v>
      </c>
    </row>
    <row r="116" spans="2:13" ht="18" customHeight="1">
      <c r="B116" s="6"/>
      <c r="C116" s="6"/>
      <c r="D116" s="6"/>
      <c r="E116" s="6"/>
      <c r="F116" s="6"/>
      <c r="G116" s="6"/>
      <c r="H116" s="6"/>
      <c r="I116" s="31"/>
      <c r="J116" s="31"/>
      <c r="K116" s="61" t="str">
        <f>IF(C116="","",_xlfn.XLOOKUP(C116,실!$D:$D,실!$B:$B,""))</f>
        <v/>
      </c>
      <c r="L116" s="48">
        <f>COUNTIFS(개구부!C:C, B116, 개구부!D:D, "window")</f>
        <v>0</v>
      </c>
      <c r="M116" s="48">
        <f>COUNTIFS(개구부!C:C, B116, 개구부!D:D, "&lt;&gt;window")</f>
        <v>0</v>
      </c>
    </row>
    <row r="117" spans="2:13" ht="18" customHeight="1">
      <c r="B117" s="6"/>
      <c r="C117" s="6"/>
      <c r="D117" s="6"/>
      <c r="E117" s="6"/>
      <c r="F117" s="6"/>
      <c r="G117" s="6"/>
      <c r="H117" s="6"/>
      <c r="I117" s="31"/>
      <c r="J117" s="31"/>
      <c r="K117" s="61" t="str">
        <f>IF(C117="","",_xlfn.XLOOKUP(C117,실!$D:$D,실!$B:$B,""))</f>
        <v/>
      </c>
      <c r="L117" s="48">
        <f>COUNTIFS(개구부!C:C, B117, 개구부!D:D, "window")</f>
        <v>0</v>
      </c>
      <c r="M117" s="48">
        <f>COUNTIFS(개구부!C:C, B117, 개구부!D:D, "&lt;&gt;window")</f>
        <v>0</v>
      </c>
    </row>
    <row r="118" spans="2:13" ht="18" customHeight="1">
      <c r="B118" s="6"/>
      <c r="C118" s="6"/>
      <c r="D118" s="6"/>
      <c r="E118" s="6"/>
      <c r="F118" s="6"/>
      <c r="G118" s="6"/>
      <c r="H118" s="6"/>
      <c r="I118" s="31"/>
      <c r="J118" s="31"/>
      <c r="K118" s="61" t="str">
        <f>IF(C118="","",_xlfn.XLOOKUP(C118,실!$D:$D,실!$B:$B,""))</f>
        <v/>
      </c>
      <c r="L118" s="48">
        <f>COUNTIFS(개구부!C:C, B118, 개구부!D:D, "window")</f>
        <v>0</v>
      </c>
      <c r="M118" s="48">
        <f>COUNTIFS(개구부!C:C, B118, 개구부!D:D, "&lt;&gt;window")</f>
        <v>0</v>
      </c>
    </row>
    <row r="119" spans="2:13" ht="18" customHeight="1">
      <c r="B119" s="6"/>
      <c r="C119" s="6"/>
      <c r="D119" s="6"/>
      <c r="E119" s="6"/>
      <c r="F119" s="6"/>
      <c r="G119" s="6"/>
      <c r="H119" s="6"/>
      <c r="I119" s="31"/>
      <c r="J119" s="31"/>
      <c r="K119" s="61" t="str">
        <f>IF(C119="","",_xlfn.XLOOKUP(C119,실!$D:$D,실!$B:$B,""))</f>
        <v/>
      </c>
      <c r="L119" s="48">
        <f>COUNTIFS(개구부!C:C, B119, 개구부!D:D, "window")</f>
        <v>0</v>
      </c>
      <c r="M119" s="48">
        <f>COUNTIFS(개구부!C:C, B119, 개구부!D:D, "&lt;&gt;window")</f>
        <v>0</v>
      </c>
    </row>
    <row r="120" spans="2:13" ht="18" customHeight="1">
      <c r="B120" s="6"/>
      <c r="C120" s="6"/>
      <c r="D120" s="6"/>
      <c r="E120" s="6"/>
      <c r="F120" s="6"/>
      <c r="G120" s="6"/>
      <c r="H120" s="6"/>
      <c r="I120" s="31"/>
      <c r="J120" s="31"/>
      <c r="K120" s="61" t="str">
        <f>IF(C120="","",_xlfn.XLOOKUP(C120,실!$D:$D,실!$B:$B,""))</f>
        <v/>
      </c>
      <c r="L120" s="48">
        <f>COUNTIFS(개구부!C:C, B120, 개구부!D:D, "window")</f>
        <v>0</v>
      </c>
      <c r="M120" s="48">
        <f>COUNTIFS(개구부!C:C, B120, 개구부!D:D, "&lt;&gt;window")</f>
        <v>0</v>
      </c>
    </row>
    <row r="121" spans="2:13" ht="18" customHeight="1">
      <c r="B121" s="6"/>
      <c r="C121" s="6"/>
      <c r="D121" s="6"/>
      <c r="E121" s="6"/>
      <c r="F121" s="6"/>
      <c r="G121" s="6"/>
      <c r="H121" s="6"/>
      <c r="I121" s="31"/>
      <c r="J121" s="31"/>
      <c r="K121" s="61" t="str">
        <f>IF(C121="","",_xlfn.XLOOKUP(C121,실!$D:$D,실!$B:$B,""))</f>
        <v/>
      </c>
      <c r="L121" s="48">
        <f>COUNTIFS(개구부!C:C, B121, 개구부!D:D, "window")</f>
        <v>0</v>
      </c>
      <c r="M121" s="48">
        <f>COUNTIFS(개구부!C:C, B121, 개구부!D:D, "&lt;&gt;window")</f>
        <v>0</v>
      </c>
    </row>
    <row r="122" spans="2:13" ht="18" customHeight="1">
      <c r="B122" s="6"/>
      <c r="C122" s="6"/>
      <c r="D122" s="6"/>
      <c r="E122" s="6"/>
      <c r="F122" s="6"/>
      <c r="G122" s="6"/>
      <c r="H122" s="6"/>
      <c r="I122" s="31"/>
      <c r="J122" s="31"/>
      <c r="K122" s="61" t="str">
        <f>IF(C122="","",_xlfn.XLOOKUP(C122,실!$D:$D,실!$B:$B,""))</f>
        <v/>
      </c>
      <c r="L122" s="48">
        <f>COUNTIFS(개구부!C:C, B122, 개구부!D:D, "window")</f>
        <v>0</v>
      </c>
      <c r="M122" s="48">
        <f>COUNTIFS(개구부!C:C, B122, 개구부!D:D, "&lt;&gt;window")</f>
        <v>0</v>
      </c>
    </row>
    <row r="123" spans="2:13" ht="18" customHeight="1">
      <c r="B123" s="6"/>
      <c r="C123" s="6"/>
      <c r="D123" s="6"/>
      <c r="E123" s="6"/>
      <c r="F123" s="6"/>
      <c r="G123" s="6"/>
      <c r="H123" s="6"/>
      <c r="I123" s="31"/>
      <c r="J123" s="31"/>
      <c r="K123" s="61" t="str">
        <f>IF(C123="","",_xlfn.XLOOKUP(C123,실!$D:$D,실!$B:$B,""))</f>
        <v/>
      </c>
      <c r="L123" s="48">
        <f>COUNTIFS(개구부!C:C, B123, 개구부!D:D, "window")</f>
        <v>0</v>
      </c>
      <c r="M123" s="48">
        <f>COUNTIFS(개구부!C:C, B123, 개구부!D:D, "&lt;&gt;window")</f>
        <v>0</v>
      </c>
    </row>
    <row r="124" spans="2:13" ht="18" customHeight="1">
      <c r="B124" s="6"/>
      <c r="C124" s="6"/>
      <c r="D124" s="6"/>
      <c r="E124" s="6"/>
      <c r="F124" s="6"/>
      <c r="G124" s="6"/>
      <c r="H124" s="6"/>
      <c r="I124" s="31"/>
      <c r="J124" s="31"/>
      <c r="K124" s="61" t="str">
        <f>IF(C124="","",_xlfn.XLOOKUP(C124,실!$D:$D,실!$B:$B,""))</f>
        <v/>
      </c>
      <c r="L124" s="48">
        <f>COUNTIFS(개구부!C:C, B124, 개구부!D:D, "window")</f>
        <v>0</v>
      </c>
      <c r="M124" s="48">
        <f>COUNTIFS(개구부!C:C, B124, 개구부!D:D, "&lt;&gt;window")</f>
        <v>0</v>
      </c>
    </row>
    <row r="125" spans="2:13" ht="18" customHeight="1">
      <c r="B125" s="6"/>
      <c r="C125" s="6"/>
      <c r="D125" s="6"/>
      <c r="E125" s="6"/>
      <c r="F125" s="6"/>
      <c r="G125" s="6"/>
      <c r="H125" s="6"/>
      <c r="I125" s="31"/>
      <c r="J125" s="31"/>
      <c r="K125" s="61" t="str">
        <f>IF(C125="","",_xlfn.XLOOKUP(C125,실!$D:$D,실!$B:$B,""))</f>
        <v/>
      </c>
      <c r="L125" s="48">
        <f>COUNTIFS(개구부!C:C, B125, 개구부!D:D, "window")</f>
        <v>0</v>
      </c>
      <c r="M125" s="48">
        <f>COUNTIFS(개구부!C:C, B125, 개구부!D:D, "&lt;&gt;window")</f>
        <v>0</v>
      </c>
    </row>
    <row r="126" spans="2:13" ht="18" customHeight="1">
      <c r="B126" s="6"/>
      <c r="C126" s="6"/>
      <c r="D126" s="6"/>
      <c r="E126" s="6"/>
      <c r="F126" s="6"/>
      <c r="G126" s="6"/>
      <c r="H126" s="6"/>
      <c r="I126" s="31"/>
      <c r="J126" s="31"/>
      <c r="K126" s="61" t="str">
        <f>IF(C126="","",_xlfn.XLOOKUP(C126,실!$D:$D,실!$B:$B,""))</f>
        <v/>
      </c>
      <c r="L126" s="48">
        <f>COUNTIFS(개구부!C:C, B126, 개구부!D:D, "window")</f>
        <v>0</v>
      </c>
      <c r="M126" s="48">
        <f>COUNTIFS(개구부!C:C, B126, 개구부!D:D, "&lt;&gt;window")</f>
        <v>0</v>
      </c>
    </row>
    <row r="127" spans="2:13" ht="18" customHeight="1">
      <c r="B127" s="6"/>
      <c r="C127" s="6"/>
      <c r="D127" s="6"/>
      <c r="E127" s="6"/>
      <c r="F127" s="6"/>
      <c r="G127" s="6"/>
      <c r="H127" s="6"/>
      <c r="I127" s="31"/>
      <c r="J127" s="31"/>
      <c r="K127" s="61" t="str">
        <f>IF(C127="","",_xlfn.XLOOKUP(C127,실!$D:$D,실!$B:$B,""))</f>
        <v/>
      </c>
      <c r="L127" s="48">
        <f>COUNTIFS(개구부!C:C, B127, 개구부!D:D, "window")</f>
        <v>0</v>
      </c>
      <c r="M127" s="48">
        <f>COUNTIFS(개구부!C:C, B127, 개구부!D:D, "&lt;&gt;window")</f>
        <v>0</v>
      </c>
    </row>
    <row r="128" spans="2:13" ht="18" customHeight="1">
      <c r="B128" s="6"/>
      <c r="C128" s="6"/>
      <c r="D128" s="6"/>
      <c r="E128" s="6"/>
      <c r="F128" s="6"/>
      <c r="G128" s="6"/>
      <c r="H128" s="6"/>
      <c r="I128" s="31"/>
      <c r="J128" s="31"/>
      <c r="K128" s="61" t="str">
        <f>IF(C128="","",_xlfn.XLOOKUP(C128,실!$D:$D,실!$B:$B,""))</f>
        <v/>
      </c>
      <c r="L128" s="48">
        <f>COUNTIFS(개구부!C:C, B128, 개구부!D:D, "window")</f>
        <v>0</v>
      </c>
      <c r="M128" s="48">
        <f>COUNTIFS(개구부!C:C, B128, 개구부!D:D, "&lt;&gt;window")</f>
        <v>0</v>
      </c>
    </row>
    <row r="129" spans="2:13" ht="18" customHeight="1">
      <c r="B129" s="6"/>
      <c r="C129" s="6"/>
      <c r="D129" s="6"/>
      <c r="E129" s="6"/>
      <c r="F129" s="6"/>
      <c r="G129" s="6"/>
      <c r="H129" s="6"/>
      <c r="I129" s="31"/>
      <c r="J129" s="31"/>
      <c r="K129" s="61" t="str">
        <f>IF(C129="","",_xlfn.XLOOKUP(C129,실!$D:$D,실!$B:$B,""))</f>
        <v/>
      </c>
      <c r="L129" s="48">
        <f>COUNTIFS(개구부!C:C, B129, 개구부!D:D, "window")</f>
        <v>0</v>
      </c>
      <c r="M129" s="48">
        <f>COUNTIFS(개구부!C:C, B129, 개구부!D:D, "&lt;&gt;window")</f>
        <v>0</v>
      </c>
    </row>
    <row r="130" spans="2:13" ht="18" customHeight="1">
      <c r="B130" s="6"/>
      <c r="C130" s="6"/>
      <c r="D130" s="6"/>
      <c r="E130" s="6"/>
      <c r="F130" s="6"/>
      <c r="G130" s="6"/>
      <c r="H130" s="6"/>
      <c r="I130" s="31"/>
      <c r="J130" s="31"/>
      <c r="K130" s="61" t="str">
        <f>IF(C130="","",_xlfn.XLOOKUP(C130,실!$D:$D,실!$B:$B,""))</f>
        <v/>
      </c>
      <c r="L130" s="48">
        <f>COUNTIFS(개구부!C:C, B130, 개구부!D:D, "window")</f>
        <v>0</v>
      </c>
      <c r="M130" s="48">
        <f>COUNTIFS(개구부!C:C, B130, 개구부!D:D, "&lt;&gt;window")</f>
        <v>0</v>
      </c>
    </row>
    <row r="131" spans="2:13" ht="18" customHeight="1">
      <c r="B131" s="6"/>
      <c r="C131" s="6"/>
      <c r="D131" s="6"/>
      <c r="E131" s="6"/>
      <c r="F131" s="6"/>
      <c r="G131" s="6"/>
      <c r="H131" s="6"/>
      <c r="I131" s="31"/>
      <c r="J131" s="31"/>
      <c r="K131" s="61" t="str">
        <f>IF(C131="","",_xlfn.XLOOKUP(C131,실!$D:$D,실!$B:$B,""))</f>
        <v/>
      </c>
      <c r="L131" s="48">
        <f>COUNTIFS(개구부!C:C, B131, 개구부!D:D, "window")</f>
        <v>0</v>
      </c>
      <c r="M131" s="48">
        <f>COUNTIFS(개구부!C:C, B131, 개구부!D:D, "&lt;&gt;window")</f>
        <v>0</v>
      </c>
    </row>
    <row r="132" spans="2:13" ht="18" customHeight="1">
      <c r="B132" s="6"/>
      <c r="C132" s="6"/>
      <c r="D132" s="6"/>
      <c r="E132" s="6"/>
      <c r="F132" s="6"/>
      <c r="G132" s="6"/>
      <c r="H132" s="6"/>
      <c r="I132" s="31"/>
      <c r="J132" s="31"/>
      <c r="K132" s="61" t="str">
        <f>IF(C132="","",_xlfn.XLOOKUP(C132,실!$D:$D,실!$B:$B,""))</f>
        <v/>
      </c>
      <c r="L132" s="48">
        <f>COUNTIFS(개구부!C:C, B132, 개구부!D:D, "window")</f>
        <v>0</v>
      </c>
      <c r="M132" s="48">
        <f>COUNTIFS(개구부!C:C, B132, 개구부!D:D, "&lt;&gt;window")</f>
        <v>0</v>
      </c>
    </row>
    <row r="133" spans="2:13" ht="18" customHeight="1">
      <c r="B133" s="6"/>
      <c r="C133" s="6"/>
      <c r="D133" s="6"/>
      <c r="E133" s="6"/>
      <c r="F133" s="6"/>
      <c r="G133" s="6"/>
      <c r="H133" s="6"/>
      <c r="I133" s="31"/>
      <c r="J133" s="31"/>
      <c r="K133" s="61" t="str">
        <f>IF(C133="","",_xlfn.XLOOKUP(C133,실!$D:$D,실!$B:$B,""))</f>
        <v/>
      </c>
      <c r="L133" s="48">
        <f>COUNTIFS(개구부!C:C, B133, 개구부!D:D, "window")</f>
        <v>0</v>
      </c>
      <c r="M133" s="48">
        <f>COUNTIFS(개구부!C:C, B133, 개구부!D:D, "&lt;&gt;window")</f>
        <v>0</v>
      </c>
    </row>
    <row r="134" spans="2:13" ht="18" customHeight="1">
      <c r="B134" s="6"/>
      <c r="C134" s="6"/>
      <c r="D134" s="6"/>
      <c r="E134" s="6"/>
      <c r="F134" s="6"/>
      <c r="G134" s="6"/>
      <c r="H134" s="6"/>
      <c r="I134" s="31"/>
      <c r="J134" s="31"/>
      <c r="K134" s="61" t="str">
        <f>IF(C134="","",_xlfn.XLOOKUP(C134,실!$D:$D,실!$B:$B,""))</f>
        <v/>
      </c>
      <c r="L134" s="48">
        <f>COUNTIFS(개구부!C:C, B134, 개구부!D:D, "window")</f>
        <v>0</v>
      </c>
      <c r="M134" s="48">
        <f>COUNTIFS(개구부!C:C, B134, 개구부!D:D, "&lt;&gt;window")</f>
        <v>0</v>
      </c>
    </row>
    <row r="135" spans="2:13" ht="18" customHeight="1">
      <c r="B135" s="6"/>
      <c r="C135" s="6"/>
      <c r="D135" s="6"/>
      <c r="E135" s="6"/>
      <c r="F135" s="6"/>
      <c r="G135" s="6"/>
      <c r="H135" s="6"/>
      <c r="I135" s="31"/>
      <c r="J135" s="31"/>
      <c r="K135" s="61" t="str">
        <f>IF(C135="","",_xlfn.XLOOKUP(C135,실!$D:$D,실!$B:$B,""))</f>
        <v/>
      </c>
      <c r="L135" s="48">
        <f>COUNTIFS(개구부!C:C, B135, 개구부!D:D, "window")</f>
        <v>0</v>
      </c>
      <c r="M135" s="48">
        <f>COUNTIFS(개구부!C:C, B135, 개구부!D:D, "&lt;&gt;window")</f>
        <v>0</v>
      </c>
    </row>
    <row r="136" spans="2:13" ht="18" customHeight="1">
      <c r="B136" s="6"/>
      <c r="C136" s="6"/>
      <c r="D136" s="6"/>
      <c r="E136" s="6"/>
      <c r="F136" s="6"/>
      <c r="G136" s="6"/>
      <c r="H136" s="6"/>
      <c r="I136" s="31"/>
      <c r="J136" s="31"/>
      <c r="K136" s="61" t="str">
        <f>IF(C136="","",_xlfn.XLOOKUP(C136,실!$D:$D,실!$B:$B,""))</f>
        <v/>
      </c>
      <c r="L136" s="48">
        <f>COUNTIFS(개구부!C:C, B136, 개구부!D:D, "window")</f>
        <v>0</v>
      </c>
      <c r="M136" s="48">
        <f>COUNTIFS(개구부!C:C, B136, 개구부!D:D, "&lt;&gt;window")</f>
        <v>0</v>
      </c>
    </row>
    <row r="137" spans="2:13" ht="18" customHeight="1">
      <c r="B137" s="6"/>
      <c r="C137" s="6"/>
      <c r="D137" s="6"/>
      <c r="E137" s="6"/>
      <c r="F137" s="6"/>
      <c r="G137" s="6"/>
      <c r="H137" s="6"/>
      <c r="I137" s="31"/>
      <c r="J137" s="31"/>
      <c r="K137" s="61" t="str">
        <f>IF(C137="","",_xlfn.XLOOKUP(C137,실!$D:$D,실!$B:$B,""))</f>
        <v/>
      </c>
      <c r="L137" s="48">
        <f>COUNTIFS(개구부!C:C, B137, 개구부!D:D, "window")</f>
        <v>0</v>
      </c>
      <c r="M137" s="48">
        <f>COUNTIFS(개구부!C:C, B137, 개구부!D:D, "&lt;&gt;window")</f>
        <v>0</v>
      </c>
    </row>
    <row r="138" spans="2:13" ht="18" customHeight="1">
      <c r="B138" s="6"/>
      <c r="C138" s="6"/>
      <c r="D138" s="6"/>
      <c r="E138" s="6"/>
      <c r="F138" s="6"/>
      <c r="G138" s="6"/>
      <c r="H138" s="6"/>
      <c r="I138" s="31"/>
      <c r="J138" s="31"/>
      <c r="K138" s="61" t="str">
        <f>IF(C138="","",_xlfn.XLOOKUP(C138,실!$D:$D,실!$B:$B,""))</f>
        <v/>
      </c>
      <c r="L138" s="48">
        <f>COUNTIFS(개구부!C:C, B138, 개구부!D:D, "window")</f>
        <v>0</v>
      </c>
      <c r="M138" s="48">
        <f>COUNTIFS(개구부!C:C, B138, 개구부!D:D, "&lt;&gt;window")</f>
        <v>0</v>
      </c>
    </row>
    <row r="139" spans="2:13" ht="18" customHeight="1">
      <c r="B139" s="6"/>
      <c r="C139" s="6"/>
      <c r="D139" s="6"/>
      <c r="E139" s="6"/>
      <c r="F139" s="6"/>
      <c r="G139" s="6"/>
      <c r="H139" s="6"/>
      <c r="I139" s="31"/>
      <c r="J139" s="31"/>
      <c r="K139" s="61" t="str">
        <f>IF(C139="","",_xlfn.XLOOKUP(C139,실!$D:$D,실!$B:$B,""))</f>
        <v/>
      </c>
      <c r="L139" s="48">
        <f>COUNTIFS(개구부!C:C, B139, 개구부!D:D, "window")</f>
        <v>0</v>
      </c>
      <c r="M139" s="48">
        <f>COUNTIFS(개구부!C:C, B139, 개구부!D:D, "&lt;&gt;window")</f>
        <v>0</v>
      </c>
    </row>
    <row r="140" spans="2:13" ht="18" customHeight="1">
      <c r="B140" s="6"/>
      <c r="C140" s="6"/>
      <c r="D140" s="6"/>
      <c r="E140" s="6"/>
      <c r="F140" s="6"/>
      <c r="G140" s="6"/>
      <c r="H140" s="6"/>
      <c r="I140" s="31"/>
      <c r="J140" s="31"/>
      <c r="K140" s="61" t="str">
        <f>IF(C140="","",_xlfn.XLOOKUP(C140,실!$D:$D,실!$B:$B,""))</f>
        <v/>
      </c>
      <c r="L140" s="48">
        <f>COUNTIFS(개구부!C:C, B140, 개구부!D:D, "window")</f>
        <v>0</v>
      </c>
      <c r="M140" s="48">
        <f>COUNTIFS(개구부!C:C, B140, 개구부!D:D, "&lt;&gt;window")</f>
        <v>0</v>
      </c>
    </row>
    <row r="141" spans="2:13" ht="18" customHeight="1">
      <c r="B141" s="6"/>
      <c r="C141" s="6"/>
      <c r="D141" s="6"/>
      <c r="E141" s="6"/>
      <c r="F141" s="6"/>
      <c r="G141" s="6"/>
      <c r="H141" s="6"/>
      <c r="I141" s="31"/>
      <c r="J141" s="31"/>
      <c r="K141" s="61" t="str">
        <f>IF(C141="","",_xlfn.XLOOKUP(C141,실!$D:$D,실!$B:$B,""))</f>
        <v/>
      </c>
      <c r="L141" s="48">
        <f>COUNTIFS(개구부!C:C, B141, 개구부!D:D, "window")</f>
        <v>0</v>
      </c>
      <c r="M141" s="48">
        <f>COUNTIFS(개구부!C:C, B141, 개구부!D:D, "&lt;&gt;window")</f>
        <v>0</v>
      </c>
    </row>
    <row r="142" spans="2:13" ht="18" customHeight="1">
      <c r="B142" s="6"/>
      <c r="C142" s="6"/>
      <c r="D142" s="6"/>
      <c r="E142" s="6"/>
      <c r="F142" s="6"/>
      <c r="G142" s="6"/>
      <c r="H142" s="6"/>
      <c r="I142" s="31"/>
      <c r="J142" s="31"/>
      <c r="K142" s="61" t="str">
        <f>IF(C142="","",_xlfn.XLOOKUP(C142,실!$D:$D,실!$B:$B,""))</f>
        <v/>
      </c>
      <c r="L142" s="48">
        <f>COUNTIFS(개구부!C:C, B142, 개구부!D:D, "window")</f>
        <v>0</v>
      </c>
      <c r="M142" s="48">
        <f>COUNTIFS(개구부!C:C, B142, 개구부!D:D, "&lt;&gt;window")</f>
        <v>0</v>
      </c>
    </row>
    <row r="143" spans="2:13" ht="18" customHeight="1">
      <c r="B143" s="6"/>
      <c r="C143" s="6"/>
      <c r="D143" s="6"/>
      <c r="E143" s="6"/>
      <c r="F143" s="6"/>
      <c r="G143" s="6"/>
      <c r="H143" s="6"/>
      <c r="I143" s="31"/>
      <c r="J143" s="31"/>
      <c r="K143" s="61" t="str">
        <f>IF(C143="","",_xlfn.XLOOKUP(C143,실!$D:$D,실!$B:$B,""))</f>
        <v/>
      </c>
      <c r="L143" s="48">
        <f>COUNTIFS(개구부!C:C, B143, 개구부!D:D, "window")</f>
        <v>0</v>
      </c>
      <c r="M143" s="48">
        <f>COUNTIFS(개구부!C:C, B143, 개구부!D:D, "&lt;&gt;window")</f>
        <v>0</v>
      </c>
    </row>
    <row r="144" spans="2:13" ht="18" customHeight="1">
      <c r="B144" s="6"/>
      <c r="C144" s="6"/>
      <c r="D144" s="6"/>
      <c r="E144" s="6"/>
      <c r="F144" s="6"/>
      <c r="G144" s="6"/>
      <c r="H144" s="6"/>
      <c r="I144" s="31"/>
      <c r="J144" s="31"/>
      <c r="K144" s="61" t="str">
        <f>IF(C144="","",_xlfn.XLOOKUP(C144,실!$D:$D,실!$B:$B,""))</f>
        <v/>
      </c>
      <c r="L144" s="48">
        <f>COUNTIFS(개구부!C:C, B144, 개구부!D:D, "window")</f>
        <v>0</v>
      </c>
      <c r="M144" s="48">
        <f>COUNTIFS(개구부!C:C, B144, 개구부!D:D, "&lt;&gt;window")</f>
        <v>0</v>
      </c>
    </row>
    <row r="145" spans="2:13" ht="18" customHeight="1">
      <c r="B145" s="6"/>
      <c r="C145" s="6"/>
      <c r="D145" s="6"/>
      <c r="E145" s="6"/>
      <c r="F145" s="6"/>
      <c r="G145" s="6"/>
      <c r="H145" s="6"/>
      <c r="I145" s="31"/>
      <c r="J145" s="31"/>
      <c r="K145" s="61" t="str">
        <f>IF(C145="","",_xlfn.XLOOKUP(C145,실!$D:$D,실!$B:$B,""))</f>
        <v/>
      </c>
      <c r="L145" s="48">
        <f>COUNTIFS(개구부!C:C, B145, 개구부!D:D, "window")</f>
        <v>0</v>
      </c>
      <c r="M145" s="48">
        <f>COUNTIFS(개구부!C:C, B145, 개구부!D:D, "&lt;&gt;window")</f>
        <v>0</v>
      </c>
    </row>
    <row r="146" spans="2:13" ht="18" customHeight="1">
      <c r="B146" s="6"/>
      <c r="C146" s="6"/>
      <c r="D146" s="6"/>
      <c r="E146" s="6"/>
      <c r="F146" s="6"/>
      <c r="G146" s="6"/>
      <c r="H146" s="6"/>
      <c r="I146" s="31"/>
      <c r="J146" s="31"/>
      <c r="K146" s="61" t="str">
        <f>IF(C146="","",_xlfn.XLOOKUP(C146,실!$D:$D,실!$B:$B,""))</f>
        <v/>
      </c>
      <c r="L146" s="48">
        <f>COUNTIFS(개구부!C:C, B146, 개구부!D:D, "window")</f>
        <v>0</v>
      </c>
      <c r="M146" s="48">
        <f>COUNTIFS(개구부!C:C, B146, 개구부!D:D, "&lt;&gt;window")</f>
        <v>0</v>
      </c>
    </row>
    <row r="147" spans="2:13" ht="18" customHeight="1">
      <c r="B147" s="6"/>
      <c r="C147" s="6"/>
      <c r="D147" s="6"/>
      <c r="E147" s="6"/>
      <c r="F147" s="6"/>
      <c r="G147" s="6"/>
      <c r="H147" s="6"/>
      <c r="I147" s="31"/>
      <c r="J147" s="31"/>
      <c r="K147" s="61" t="str">
        <f>IF(C147="","",_xlfn.XLOOKUP(C147,실!$D:$D,실!$B:$B,""))</f>
        <v/>
      </c>
      <c r="L147" s="48">
        <f>COUNTIFS(개구부!C:C, B147, 개구부!D:D, "window")</f>
        <v>0</v>
      </c>
      <c r="M147" s="48">
        <f>COUNTIFS(개구부!C:C, B147, 개구부!D:D, "&lt;&gt;window")</f>
        <v>0</v>
      </c>
    </row>
    <row r="148" spans="2:13" ht="18" customHeight="1">
      <c r="B148" s="6"/>
      <c r="C148" s="6"/>
      <c r="D148" s="6"/>
      <c r="E148" s="6"/>
      <c r="F148" s="6"/>
      <c r="G148" s="6"/>
      <c r="H148" s="6"/>
      <c r="I148" s="31"/>
      <c r="J148" s="31"/>
      <c r="K148" s="61" t="str">
        <f>IF(C148="","",_xlfn.XLOOKUP(C148,실!$D:$D,실!$B:$B,""))</f>
        <v/>
      </c>
      <c r="L148" s="48">
        <f>COUNTIFS(개구부!C:C, B148, 개구부!D:D, "window")</f>
        <v>0</v>
      </c>
      <c r="M148" s="48">
        <f>COUNTIFS(개구부!C:C, B148, 개구부!D:D, "&lt;&gt;window")</f>
        <v>0</v>
      </c>
    </row>
    <row r="149" spans="2:13" ht="18" customHeight="1">
      <c r="B149" s="6"/>
      <c r="C149" s="6"/>
      <c r="D149" s="6"/>
      <c r="E149" s="6"/>
      <c r="F149" s="6"/>
      <c r="G149" s="6"/>
      <c r="H149" s="6"/>
      <c r="I149" s="31"/>
      <c r="J149" s="31"/>
      <c r="K149" s="61" t="str">
        <f>IF(C149="","",_xlfn.XLOOKUP(C149,실!$D:$D,실!$B:$B,""))</f>
        <v/>
      </c>
      <c r="L149" s="48">
        <f>COUNTIFS(개구부!C:C, B149, 개구부!D:D, "window")</f>
        <v>0</v>
      </c>
      <c r="M149" s="48">
        <f>COUNTIFS(개구부!C:C, B149, 개구부!D:D, "&lt;&gt;window")</f>
        <v>0</v>
      </c>
    </row>
    <row r="150" spans="2:13" ht="18" customHeight="1">
      <c r="B150" s="6"/>
      <c r="C150" s="6"/>
      <c r="D150" s="6"/>
      <c r="E150" s="6"/>
      <c r="F150" s="6"/>
      <c r="G150" s="6"/>
      <c r="H150" s="6"/>
      <c r="I150" s="31"/>
      <c r="J150" s="31"/>
      <c r="K150" s="61" t="str">
        <f>IF(C150="","",_xlfn.XLOOKUP(C150,실!$D:$D,실!$B:$B,""))</f>
        <v/>
      </c>
      <c r="L150" s="48">
        <f>COUNTIFS(개구부!C:C, B150, 개구부!D:D, "window")</f>
        <v>0</v>
      </c>
      <c r="M150" s="48">
        <f>COUNTIFS(개구부!C:C, B150, 개구부!D:D, "&lt;&gt;window")</f>
        <v>0</v>
      </c>
    </row>
    <row r="151" spans="2:13" ht="18" customHeight="1">
      <c r="B151" s="6"/>
      <c r="C151" s="6"/>
      <c r="D151" s="6"/>
      <c r="E151" s="6"/>
      <c r="F151" s="6"/>
      <c r="G151" s="6"/>
      <c r="H151" s="6"/>
      <c r="I151" s="31"/>
      <c r="J151" s="31"/>
      <c r="K151" s="61" t="str">
        <f>IF(C151="","",_xlfn.XLOOKUP(C151,실!$D:$D,실!$B:$B,""))</f>
        <v/>
      </c>
      <c r="L151" s="48">
        <f>COUNTIFS(개구부!C:C, B151, 개구부!D:D, "window")</f>
        <v>0</v>
      </c>
      <c r="M151" s="48">
        <f>COUNTIFS(개구부!C:C, B151, 개구부!D:D, "&lt;&gt;window")</f>
        <v>0</v>
      </c>
    </row>
    <row r="152" spans="2:13" ht="18" customHeight="1">
      <c r="B152" s="6"/>
      <c r="C152" s="6"/>
      <c r="D152" s="6"/>
      <c r="E152" s="6"/>
      <c r="F152" s="6"/>
      <c r="G152" s="6"/>
      <c r="H152" s="6"/>
      <c r="I152" s="31"/>
      <c r="J152" s="31"/>
      <c r="K152" s="61" t="str">
        <f>IF(C152="","",_xlfn.XLOOKUP(C152,실!$D:$D,실!$B:$B,""))</f>
        <v/>
      </c>
      <c r="L152" s="48">
        <f>COUNTIFS(개구부!C:C, B152, 개구부!D:D, "window")</f>
        <v>0</v>
      </c>
      <c r="M152" s="48">
        <f>COUNTIFS(개구부!C:C, B152, 개구부!D:D, "&lt;&gt;window")</f>
        <v>0</v>
      </c>
    </row>
    <row r="153" spans="2:13" ht="18" customHeight="1">
      <c r="B153" s="6"/>
      <c r="C153" s="6"/>
      <c r="D153" s="6"/>
      <c r="E153" s="6"/>
      <c r="F153" s="6"/>
      <c r="G153" s="6"/>
      <c r="H153" s="6"/>
      <c r="I153" s="31"/>
      <c r="J153" s="31"/>
      <c r="K153" s="61" t="str">
        <f>IF(C153="","",_xlfn.XLOOKUP(C153,실!$D:$D,실!$B:$B,""))</f>
        <v/>
      </c>
      <c r="L153" s="48">
        <f>COUNTIFS(개구부!C:C, B153, 개구부!D:D, "window")</f>
        <v>0</v>
      </c>
      <c r="M153" s="48">
        <f>COUNTIFS(개구부!C:C, B153, 개구부!D:D, "&lt;&gt;window")</f>
        <v>0</v>
      </c>
    </row>
    <row r="154" spans="2:13" ht="18" customHeight="1">
      <c r="B154" s="6"/>
      <c r="C154" s="6"/>
      <c r="D154" s="6"/>
      <c r="E154" s="6"/>
      <c r="F154" s="6"/>
      <c r="G154" s="6"/>
      <c r="H154" s="6"/>
      <c r="I154" s="31"/>
      <c r="J154" s="31"/>
      <c r="K154" s="61" t="str">
        <f>IF(C154="","",_xlfn.XLOOKUP(C154,실!$D:$D,실!$B:$B,""))</f>
        <v/>
      </c>
      <c r="L154" s="48">
        <f>COUNTIFS(개구부!C:C, B154, 개구부!D:D, "window")</f>
        <v>0</v>
      </c>
      <c r="M154" s="48">
        <f>COUNTIFS(개구부!C:C, B154, 개구부!D:D, "&lt;&gt;window")</f>
        <v>0</v>
      </c>
    </row>
    <row r="155" spans="2:13" ht="18" customHeight="1">
      <c r="B155" s="6"/>
      <c r="C155" s="6"/>
      <c r="D155" s="6"/>
      <c r="E155" s="6"/>
      <c r="F155" s="6"/>
      <c r="G155" s="6"/>
      <c r="H155" s="6"/>
      <c r="I155" s="31"/>
      <c r="J155" s="31"/>
      <c r="K155" s="61" t="str">
        <f>IF(C155="","",_xlfn.XLOOKUP(C155,실!$D:$D,실!$B:$B,""))</f>
        <v/>
      </c>
      <c r="L155" s="48">
        <f>COUNTIFS(개구부!C:C, B155, 개구부!D:D, "window")</f>
        <v>0</v>
      </c>
      <c r="M155" s="48">
        <f>COUNTIFS(개구부!C:C, B155, 개구부!D:D, "&lt;&gt;window")</f>
        <v>0</v>
      </c>
    </row>
    <row r="156" spans="2:13" ht="18" customHeight="1">
      <c r="B156" s="6"/>
      <c r="C156" s="6"/>
      <c r="D156" s="6"/>
      <c r="E156" s="6"/>
      <c r="F156" s="6"/>
      <c r="G156" s="6"/>
      <c r="H156" s="6"/>
      <c r="I156" s="31"/>
      <c r="J156" s="31"/>
      <c r="K156" s="61" t="str">
        <f>IF(C156="","",_xlfn.XLOOKUP(C156,실!$D:$D,실!$B:$B,""))</f>
        <v/>
      </c>
      <c r="L156" s="48">
        <f>COUNTIFS(개구부!C:C, B156, 개구부!D:D, "window")</f>
        <v>0</v>
      </c>
      <c r="M156" s="48">
        <f>COUNTIFS(개구부!C:C, B156, 개구부!D:D, "&lt;&gt;window")</f>
        <v>0</v>
      </c>
    </row>
    <row r="157" spans="2:13" ht="18" customHeight="1">
      <c r="B157" s="6"/>
      <c r="C157" s="6"/>
      <c r="D157" s="6"/>
      <c r="E157" s="6"/>
      <c r="F157" s="6"/>
      <c r="G157" s="6"/>
      <c r="H157" s="6"/>
      <c r="I157" s="31"/>
      <c r="J157" s="31"/>
      <c r="K157" s="61" t="str">
        <f>IF(C157="","",_xlfn.XLOOKUP(C157,실!$D:$D,실!$B:$B,""))</f>
        <v/>
      </c>
      <c r="L157" s="48">
        <f>COUNTIFS(개구부!C:C, B157, 개구부!D:D, "window")</f>
        <v>0</v>
      </c>
      <c r="M157" s="48">
        <f>COUNTIFS(개구부!C:C, B157, 개구부!D:D, "&lt;&gt;window")</f>
        <v>0</v>
      </c>
    </row>
    <row r="158" spans="2:13" ht="18" customHeight="1">
      <c r="B158" s="6"/>
      <c r="C158" s="6"/>
      <c r="D158" s="6"/>
      <c r="E158" s="6"/>
      <c r="F158" s="6"/>
      <c r="G158" s="6"/>
      <c r="H158" s="6"/>
      <c r="I158" s="31"/>
      <c r="J158" s="31"/>
      <c r="K158" s="61" t="str">
        <f>IF(C158="","",_xlfn.XLOOKUP(C158,실!$D:$D,실!$B:$B,""))</f>
        <v/>
      </c>
      <c r="L158" s="48">
        <f>COUNTIFS(개구부!C:C, B158, 개구부!D:D, "window")</f>
        <v>0</v>
      </c>
      <c r="M158" s="48">
        <f>COUNTIFS(개구부!C:C, B158, 개구부!D:D, "&lt;&gt;window")</f>
        <v>0</v>
      </c>
    </row>
    <row r="159" spans="2:13" ht="18" customHeight="1">
      <c r="B159" s="6"/>
      <c r="C159" s="6"/>
      <c r="D159" s="6"/>
      <c r="E159" s="6"/>
      <c r="F159" s="6"/>
      <c r="G159" s="6"/>
      <c r="H159" s="6"/>
      <c r="I159" s="31"/>
      <c r="J159" s="31"/>
      <c r="K159" s="61" t="str">
        <f>IF(C159="","",_xlfn.XLOOKUP(C159,실!$D:$D,실!$B:$B,""))</f>
        <v/>
      </c>
      <c r="L159" s="48">
        <f>COUNTIFS(개구부!C:C, B159, 개구부!D:D, "window")</f>
        <v>0</v>
      </c>
      <c r="M159" s="48">
        <f>COUNTIFS(개구부!C:C, B159, 개구부!D:D, "&lt;&gt;window")</f>
        <v>0</v>
      </c>
    </row>
    <row r="160" spans="2:13" ht="18" customHeight="1">
      <c r="B160" s="6"/>
      <c r="C160" s="6"/>
      <c r="D160" s="6"/>
      <c r="E160" s="6"/>
      <c r="F160" s="6"/>
      <c r="G160" s="6"/>
      <c r="H160" s="6"/>
      <c r="I160" s="31"/>
      <c r="J160" s="31"/>
      <c r="K160" s="61" t="str">
        <f>IF(C160="","",_xlfn.XLOOKUP(C160,실!$D:$D,실!$B:$B,""))</f>
        <v/>
      </c>
      <c r="L160" s="48">
        <f>COUNTIFS(개구부!C:C, B160, 개구부!D:D, "window")</f>
        <v>0</v>
      </c>
      <c r="M160" s="48">
        <f>COUNTIFS(개구부!C:C, B160, 개구부!D:D, "&lt;&gt;window")</f>
        <v>0</v>
      </c>
    </row>
    <row r="161" spans="2:13" ht="18" customHeight="1">
      <c r="B161" s="6"/>
      <c r="C161" s="6"/>
      <c r="D161" s="6"/>
      <c r="E161" s="6"/>
      <c r="F161" s="6"/>
      <c r="G161" s="6"/>
      <c r="H161" s="6"/>
      <c r="I161" s="31"/>
      <c r="J161" s="31"/>
      <c r="K161" s="61" t="str">
        <f>IF(C161="","",_xlfn.XLOOKUP(C161,실!$D:$D,실!$B:$B,""))</f>
        <v/>
      </c>
      <c r="L161" s="48">
        <f>COUNTIFS(개구부!C:C, B161, 개구부!D:D, "window")</f>
        <v>0</v>
      </c>
      <c r="M161" s="48">
        <f>COUNTIFS(개구부!C:C, B161, 개구부!D:D, "&lt;&gt;window")</f>
        <v>0</v>
      </c>
    </row>
    <row r="162" spans="2:13" ht="18" customHeight="1">
      <c r="B162" s="6"/>
      <c r="C162" s="6"/>
      <c r="D162" s="6"/>
      <c r="E162" s="6"/>
      <c r="F162" s="6"/>
      <c r="G162" s="6"/>
      <c r="H162" s="6"/>
      <c r="I162" s="31"/>
      <c r="J162" s="31"/>
      <c r="K162" s="61" t="str">
        <f>IF(C162="","",_xlfn.XLOOKUP(C162,실!$D:$D,실!$B:$B,""))</f>
        <v/>
      </c>
      <c r="L162" s="48">
        <f>COUNTIFS(개구부!C:C, B162, 개구부!D:D, "window")</f>
        <v>0</v>
      </c>
      <c r="M162" s="48">
        <f>COUNTIFS(개구부!C:C, B162, 개구부!D:D, "&lt;&gt;window")</f>
        <v>0</v>
      </c>
    </row>
    <row r="163" spans="2:13" ht="18" customHeight="1">
      <c r="B163" s="6"/>
      <c r="C163" s="6"/>
      <c r="D163" s="6"/>
      <c r="E163" s="6"/>
      <c r="F163" s="6"/>
      <c r="G163" s="6"/>
      <c r="H163" s="6"/>
      <c r="I163" s="31"/>
      <c r="J163" s="31"/>
      <c r="K163" s="61" t="str">
        <f>IF(C163="","",_xlfn.XLOOKUP(C163,실!$D:$D,실!$B:$B,""))</f>
        <v/>
      </c>
      <c r="L163" s="48">
        <f>COUNTIFS(개구부!C:C, B163, 개구부!D:D, "window")</f>
        <v>0</v>
      </c>
      <c r="M163" s="48">
        <f>COUNTIFS(개구부!C:C, B163, 개구부!D:D, "&lt;&gt;window")</f>
        <v>0</v>
      </c>
    </row>
    <row r="164" spans="2:13" ht="18" customHeight="1">
      <c r="B164" s="6"/>
      <c r="C164" s="6"/>
      <c r="D164" s="6"/>
      <c r="E164" s="6"/>
      <c r="F164" s="6"/>
      <c r="G164" s="6"/>
      <c r="H164" s="6"/>
      <c r="I164" s="31"/>
      <c r="J164" s="31"/>
      <c r="K164" s="61" t="str">
        <f>IF(C164="","",_xlfn.XLOOKUP(C164,실!$D:$D,실!$B:$B,""))</f>
        <v/>
      </c>
      <c r="L164" s="48">
        <f>COUNTIFS(개구부!C:C, B164, 개구부!D:D, "window")</f>
        <v>0</v>
      </c>
      <c r="M164" s="48">
        <f>COUNTIFS(개구부!C:C, B164, 개구부!D:D, "&lt;&gt;window")</f>
        <v>0</v>
      </c>
    </row>
    <row r="165" spans="2:13" ht="18" customHeight="1">
      <c r="B165" s="6"/>
      <c r="C165" s="6"/>
      <c r="D165" s="6"/>
      <c r="E165" s="6"/>
      <c r="F165" s="6"/>
      <c r="G165" s="6"/>
      <c r="H165" s="6"/>
      <c r="I165" s="31"/>
      <c r="J165" s="31"/>
      <c r="K165" s="61" t="str">
        <f>IF(C165="","",_xlfn.XLOOKUP(C165,실!$D:$D,실!$B:$B,""))</f>
        <v/>
      </c>
      <c r="L165" s="48">
        <f>COUNTIFS(개구부!C:C, B165, 개구부!D:D, "window")</f>
        <v>0</v>
      </c>
      <c r="M165" s="48">
        <f>COUNTIFS(개구부!C:C, B165, 개구부!D:D, "&lt;&gt;window")</f>
        <v>0</v>
      </c>
    </row>
    <row r="166" spans="2:13" ht="18" customHeight="1">
      <c r="B166" s="6"/>
      <c r="C166" s="6"/>
      <c r="D166" s="6"/>
      <c r="E166" s="6"/>
      <c r="F166" s="6"/>
      <c r="G166" s="6"/>
      <c r="H166" s="6"/>
      <c r="I166" s="31"/>
      <c r="J166" s="31"/>
      <c r="K166" s="61" t="str">
        <f>IF(C166="","",_xlfn.XLOOKUP(C166,실!$D:$D,실!$B:$B,""))</f>
        <v/>
      </c>
      <c r="L166" s="48">
        <f>COUNTIFS(개구부!C:C, B166, 개구부!D:D, "window")</f>
        <v>0</v>
      </c>
      <c r="M166" s="48">
        <f>COUNTIFS(개구부!C:C, B166, 개구부!D:D, "&lt;&gt;window")</f>
        <v>0</v>
      </c>
    </row>
    <row r="167" spans="2:13" ht="18" customHeight="1">
      <c r="B167" s="6"/>
      <c r="C167" s="6"/>
      <c r="D167" s="6"/>
      <c r="E167" s="6"/>
      <c r="F167" s="6"/>
      <c r="G167" s="6"/>
      <c r="H167" s="6"/>
      <c r="I167" s="31"/>
      <c r="J167" s="31"/>
      <c r="K167" s="61" t="str">
        <f>IF(C167="","",_xlfn.XLOOKUP(C167,실!$D:$D,실!$B:$B,""))</f>
        <v/>
      </c>
      <c r="L167" s="48">
        <f>COUNTIFS(개구부!C:C, B167, 개구부!D:D, "window")</f>
        <v>0</v>
      </c>
      <c r="M167" s="48">
        <f>COUNTIFS(개구부!C:C, B167, 개구부!D:D, "&lt;&gt;window")</f>
        <v>0</v>
      </c>
    </row>
    <row r="168" spans="2:13" ht="18" customHeight="1">
      <c r="B168" s="6"/>
      <c r="C168" s="6"/>
      <c r="D168" s="6"/>
      <c r="E168" s="6"/>
      <c r="F168" s="6"/>
      <c r="G168" s="6"/>
      <c r="H168" s="6"/>
      <c r="I168" s="31"/>
      <c r="J168" s="31"/>
      <c r="K168" s="61" t="str">
        <f>IF(C168="","",_xlfn.XLOOKUP(C168,실!$D:$D,실!$B:$B,""))</f>
        <v/>
      </c>
      <c r="L168" s="48">
        <f>COUNTIFS(개구부!C:C, B168, 개구부!D:D, "window")</f>
        <v>0</v>
      </c>
      <c r="M168" s="48">
        <f>COUNTIFS(개구부!C:C, B168, 개구부!D:D, "&lt;&gt;window")</f>
        <v>0</v>
      </c>
    </row>
    <row r="169" spans="2:13" ht="18" customHeight="1">
      <c r="B169" s="6"/>
      <c r="C169" s="6"/>
      <c r="D169" s="6"/>
      <c r="E169" s="6"/>
      <c r="F169" s="6"/>
      <c r="G169" s="6"/>
      <c r="H169" s="6"/>
      <c r="I169" s="31"/>
      <c r="J169" s="31"/>
      <c r="K169" s="61" t="str">
        <f>IF(C169="","",_xlfn.XLOOKUP(C169,실!$D:$D,실!$B:$B,""))</f>
        <v/>
      </c>
      <c r="L169" s="48">
        <f>COUNTIFS(개구부!C:C, B169, 개구부!D:D, "window")</f>
        <v>0</v>
      </c>
      <c r="M169" s="48">
        <f>COUNTIFS(개구부!C:C, B169, 개구부!D:D, "&lt;&gt;window")</f>
        <v>0</v>
      </c>
    </row>
    <row r="170" spans="2:13" ht="18" customHeight="1">
      <c r="B170" s="6"/>
      <c r="C170" s="6"/>
      <c r="D170" s="6"/>
      <c r="E170" s="6"/>
      <c r="F170" s="6"/>
      <c r="G170" s="6"/>
      <c r="H170" s="6"/>
      <c r="I170" s="31"/>
      <c r="J170" s="31"/>
      <c r="K170" s="61" t="str">
        <f>IF(C170="","",_xlfn.XLOOKUP(C170,실!$D:$D,실!$B:$B,""))</f>
        <v/>
      </c>
      <c r="L170" s="48">
        <f>COUNTIFS(개구부!C:C, B170, 개구부!D:D, "window")</f>
        <v>0</v>
      </c>
      <c r="M170" s="48">
        <f>COUNTIFS(개구부!C:C, B170, 개구부!D:D, "&lt;&gt;window")</f>
        <v>0</v>
      </c>
    </row>
    <row r="171" spans="2:13" ht="18" customHeight="1">
      <c r="B171" s="6"/>
      <c r="C171" s="6"/>
      <c r="D171" s="6"/>
      <c r="E171" s="6"/>
      <c r="F171" s="6"/>
      <c r="G171" s="6"/>
      <c r="H171" s="6"/>
      <c r="I171" s="31"/>
      <c r="J171" s="31"/>
      <c r="K171" s="61" t="str">
        <f>IF(C171="","",_xlfn.XLOOKUP(C171,실!$D:$D,실!$B:$B,""))</f>
        <v/>
      </c>
      <c r="L171" s="48">
        <f>COUNTIFS(개구부!C:C, B171, 개구부!D:D, "window")</f>
        <v>0</v>
      </c>
      <c r="M171" s="48">
        <f>COUNTIFS(개구부!C:C, B171, 개구부!D:D, "&lt;&gt;window")</f>
        <v>0</v>
      </c>
    </row>
    <row r="172" spans="2:13" ht="18" customHeight="1">
      <c r="B172" s="6"/>
      <c r="C172" s="6"/>
      <c r="D172" s="6"/>
      <c r="E172" s="6"/>
      <c r="F172" s="6"/>
      <c r="G172" s="6"/>
      <c r="H172" s="6"/>
      <c r="I172" s="31"/>
      <c r="J172" s="31"/>
      <c r="K172" s="61" t="str">
        <f>IF(C172="","",_xlfn.XLOOKUP(C172,실!$D:$D,실!$B:$B,""))</f>
        <v/>
      </c>
      <c r="L172" s="48">
        <f>COUNTIFS(개구부!C:C, B172, 개구부!D:D, "window")</f>
        <v>0</v>
      </c>
      <c r="M172" s="48">
        <f>COUNTIFS(개구부!C:C, B172, 개구부!D:D, "&lt;&gt;window")</f>
        <v>0</v>
      </c>
    </row>
    <row r="173" spans="2:13" ht="18" customHeight="1">
      <c r="B173" s="6"/>
      <c r="C173" s="6"/>
      <c r="D173" s="6"/>
      <c r="E173" s="6"/>
      <c r="F173" s="6"/>
      <c r="G173" s="6"/>
      <c r="H173" s="6"/>
      <c r="I173" s="31"/>
      <c r="J173" s="31"/>
      <c r="K173" s="61" t="str">
        <f>IF(C173="","",_xlfn.XLOOKUP(C173,실!$D:$D,실!$B:$B,""))</f>
        <v/>
      </c>
      <c r="L173" s="48">
        <f>COUNTIFS(개구부!C:C, B173, 개구부!D:D, "window")</f>
        <v>0</v>
      </c>
      <c r="M173" s="48">
        <f>COUNTIFS(개구부!C:C, B173, 개구부!D:D, "&lt;&gt;window")</f>
        <v>0</v>
      </c>
    </row>
    <row r="174" spans="2:13" ht="18" customHeight="1">
      <c r="B174" s="6"/>
      <c r="C174" s="6"/>
      <c r="D174" s="6"/>
      <c r="E174" s="6"/>
      <c r="F174" s="6"/>
      <c r="G174" s="6"/>
      <c r="H174" s="6"/>
      <c r="I174" s="31"/>
      <c r="J174" s="31"/>
      <c r="K174" s="61" t="str">
        <f>IF(C174="","",_xlfn.XLOOKUP(C174,실!$D:$D,실!$B:$B,""))</f>
        <v/>
      </c>
      <c r="L174" s="48">
        <f>COUNTIFS(개구부!C:C, B174, 개구부!D:D, "window")</f>
        <v>0</v>
      </c>
      <c r="M174" s="48">
        <f>COUNTIFS(개구부!C:C, B174, 개구부!D:D, "&lt;&gt;window")</f>
        <v>0</v>
      </c>
    </row>
    <row r="175" spans="2:13" ht="18" customHeight="1">
      <c r="B175" s="6"/>
      <c r="C175" s="6"/>
      <c r="D175" s="6"/>
      <c r="E175" s="6"/>
      <c r="F175" s="6"/>
      <c r="G175" s="6"/>
      <c r="H175" s="6"/>
      <c r="I175" s="31"/>
      <c r="J175" s="31"/>
      <c r="K175" s="61" t="str">
        <f>IF(C175="","",_xlfn.XLOOKUP(C175,실!$D:$D,실!$B:$B,""))</f>
        <v/>
      </c>
      <c r="L175" s="48">
        <f>COUNTIFS(개구부!C:C, B175, 개구부!D:D, "window")</f>
        <v>0</v>
      </c>
      <c r="M175" s="48">
        <f>COUNTIFS(개구부!C:C, B175, 개구부!D:D, "&lt;&gt;window")</f>
        <v>0</v>
      </c>
    </row>
    <row r="176" spans="2:13" ht="18" customHeight="1">
      <c r="B176" s="6"/>
      <c r="C176" s="6"/>
      <c r="D176" s="6"/>
      <c r="E176" s="6"/>
      <c r="F176" s="6"/>
      <c r="G176" s="6"/>
      <c r="H176" s="6"/>
      <c r="I176" s="31"/>
      <c r="J176" s="31"/>
      <c r="K176" s="61" t="str">
        <f>IF(C176="","",_xlfn.XLOOKUP(C176,실!$D:$D,실!$B:$B,""))</f>
        <v/>
      </c>
      <c r="L176" s="48">
        <f>COUNTIFS(개구부!C:C, B176, 개구부!D:D, "window")</f>
        <v>0</v>
      </c>
      <c r="M176" s="48">
        <f>COUNTIFS(개구부!C:C, B176, 개구부!D:D, "&lt;&gt;window")</f>
        <v>0</v>
      </c>
    </row>
    <row r="177" spans="2:13" ht="18" customHeight="1">
      <c r="B177" s="6"/>
      <c r="C177" s="6"/>
      <c r="D177" s="6"/>
      <c r="E177" s="6"/>
      <c r="F177" s="6"/>
      <c r="G177" s="6"/>
      <c r="H177" s="6"/>
      <c r="I177" s="31"/>
      <c r="J177" s="31"/>
      <c r="K177" s="61" t="str">
        <f>IF(C177="","",_xlfn.XLOOKUP(C177,실!$D:$D,실!$B:$B,""))</f>
        <v/>
      </c>
      <c r="L177" s="48">
        <f>COUNTIFS(개구부!C:C, B177, 개구부!D:D, "window")</f>
        <v>0</v>
      </c>
      <c r="M177" s="48">
        <f>COUNTIFS(개구부!C:C, B177, 개구부!D:D, "&lt;&gt;window")</f>
        <v>0</v>
      </c>
    </row>
    <row r="178" spans="2:13" ht="18" customHeight="1">
      <c r="B178" s="6"/>
      <c r="C178" s="6"/>
      <c r="D178" s="6"/>
      <c r="E178" s="6"/>
      <c r="F178" s="6"/>
      <c r="G178" s="6"/>
      <c r="H178" s="6"/>
      <c r="I178" s="31"/>
      <c r="J178" s="31"/>
      <c r="K178" s="61" t="str">
        <f>IF(C178="","",_xlfn.XLOOKUP(C178,실!$D:$D,실!$B:$B,""))</f>
        <v/>
      </c>
      <c r="L178" s="48">
        <f>COUNTIFS(개구부!C:C, B178, 개구부!D:D, "window")</f>
        <v>0</v>
      </c>
      <c r="M178" s="48">
        <f>COUNTIFS(개구부!C:C, B178, 개구부!D:D, "&lt;&gt;window")</f>
        <v>0</v>
      </c>
    </row>
    <row r="179" spans="2:13" ht="18" customHeight="1">
      <c r="B179" s="6"/>
      <c r="C179" s="6"/>
      <c r="D179" s="6"/>
      <c r="E179" s="6"/>
      <c r="F179" s="6"/>
      <c r="G179" s="6"/>
      <c r="H179" s="6"/>
      <c r="I179" s="31"/>
      <c r="J179" s="31"/>
      <c r="K179" s="61" t="str">
        <f>IF(C179="","",_xlfn.XLOOKUP(C179,실!$D:$D,실!$B:$B,""))</f>
        <v/>
      </c>
      <c r="L179" s="48">
        <f>COUNTIFS(개구부!C:C, B179, 개구부!D:D, "window")</f>
        <v>0</v>
      </c>
      <c r="M179" s="48">
        <f>COUNTIFS(개구부!C:C, B179, 개구부!D:D, "&lt;&gt;window")</f>
        <v>0</v>
      </c>
    </row>
    <row r="180" spans="2:13" ht="18" customHeight="1">
      <c r="B180" s="6"/>
      <c r="C180" s="6"/>
      <c r="D180" s="6"/>
      <c r="E180" s="6"/>
      <c r="F180" s="6"/>
      <c r="G180" s="6"/>
      <c r="H180" s="6"/>
      <c r="I180" s="31"/>
      <c r="J180" s="31"/>
      <c r="K180" s="61" t="str">
        <f>IF(C180="","",_xlfn.XLOOKUP(C180,실!$D:$D,실!$B:$B,""))</f>
        <v/>
      </c>
      <c r="L180" s="48">
        <f>COUNTIFS(개구부!C:C, B180, 개구부!D:D, "window")</f>
        <v>0</v>
      </c>
      <c r="M180" s="48">
        <f>COUNTIFS(개구부!C:C, B180, 개구부!D:D, "&lt;&gt;window")</f>
        <v>0</v>
      </c>
    </row>
    <row r="181" spans="2:13" ht="18" customHeight="1">
      <c r="B181" s="6"/>
      <c r="C181" s="6"/>
      <c r="D181" s="6"/>
      <c r="E181" s="6"/>
      <c r="F181" s="6"/>
      <c r="G181" s="6"/>
      <c r="H181" s="6"/>
      <c r="I181" s="31"/>
      <c r="J181" s="31"/>
      <c r="K181" s="61" t="str">
        <f>IF(C181="","",_xlfn.XLOOKUP(C181,실!$D:$D,실!$B:$B,""))</f>
        <v/>
      </c>
      <c r="L181" s="48">
        <f>COUNTIFS(개구부!C:C, B181, 개구부!D:D, "window")</f>
        <v>0</v>
      </c>
      <c r="M181" s="48">
        <f>COUNTIFS(개구부!C:C, B181, 개구부!D:D, "&lt;&gt;window")</f>
        <v>0</v>
      </c>
    </row>
    <row r="182" spans="2:13" ht="18" customHeight="1">
      <c r="B182" s="6"/>
      <c r="C182" s="6"/>
      <c r="D182" s="6"/>
      <c r="E182" s="6"/>
      <c r="F182" s="6"/>
      <c r="G182" s="6"/>
      <c r="H182" s="6"/>
      <c r="I182" s="31"/>
      <c r="J182" s="31"/>
      <c r="K182" s="61" t="str">
        <f>IF(C182="","",_xlfn.XLOOKUP(C182,실!$D:$D,실!$B:$B,""))</f>
        <v/>
      </c>
      <c r="L182" s="48">
        <f>COUNTIFS(개구부!C:C, B182, 개구부!D:D, "window")</f>
        <v>0</v>
      </c>
      <c r="M182" s="48">
        <f>COUNTIFS(개구부!C:C, B182, 개구부!D:D, "&lt;&gt;window")</f>
        <v>0</v>
      </c>
    </row>
    <row r="183" spans="2:13" ht="18" customHeight="1">
      <c r="B183" s="6"/>
      <c r="C183" s="6"/>
      <c r="D183" s="6"/>
      <c r="E183" s="6"/>
      <c r="F183" s="6"/>
      <c r="G183" s="6"/>
      <c r="H183" s="6"/>
      <c r="I183" s="31"/>
      <c r="J183" s="31"/>
      <c r="K183" s="61" t="str">
        <f>IF(C183="","",_xlfn.XLOOKUP(C183,실!$D:$D,실!$B:$B,""))</f>
        <v/>
      </c>
      <c r="L183" s="48">
        <f>COUNTIFS(개구부!C:C, B183, 개구부!D:D, "window")</f>
        <v>0</v>
      </c>
      <c r="M183" s="48">
        <f>COUNTIFS(개구부!C:C, B183, 개구부!D:D, "&lt;&gt;window")</f>
        <v>0</v>
      </c>
    </row>
    <row r="184" spans="2:13" ht="18" customHeight="1">
      <c r="B184" s="6"/>
      <c r="C184" s="6"/>
      <c r="D184" s="6"/>
      <c r="E184" s="6"/>
      <c r="F184" s="6"/>
      <c r="G184" s="6"/>
      <c r="H184" s="6"/>
      <c r="I184" s="31"/>
      <c r="J184" s="31"/>
      <c r="K184" s="61" t="str">
        <f>IF(C184="","",_xlfn.XLOOKUP(C184,실!$D:$D,실!$B:$B,""))</f>
        <v/>
      </c>
      <c r="L184" s="48">
        <f>COUNTIFS(개구부!C:C, B184, 개구부!D:D, "window")</f>
        <v>0</v>
      </c>
      <c r="M184" s="48">
        <f>COUNTIFS(개구부!C:C, B184, 개구부!D:D, "&lt;&gt;window")</f>
        <v>0</v>
      </c>
    </row>
    <row r="185" spans="2:13" ht="18" customHeight="1">
      <c r="B185" s="6"/>
      <c r="C185" s="6"/>
      <c r="D185" s="6"/>
      <c r="E185" s="6"/>
      <c r="F185" s="6"/>
      <c r="G185" s="6"/>
      <c r="H185" s="6"/>
      <c r="I185" s="31"/>
      <c r="J185" s="31"/>
      <c r="K185" s="61" t="str">
        <f>IF(C185="","",_xlfn.XLOOKUP(C185,실!$D:$D,실!$B:$B,""))</f>
        <v/>
      </c>
      <c r="L185" s="48">
        <f>COUNTIFS(개구부!C:C, B185, 개구부!D:D, "window")</f>
        <v>0</v>
      </c>
      <c r="M185" s="48">
        <f>COUNTIFS(개구부!C:C, B185, 개구부!D:D, "&lt;&gt;window")</f>
        <v>0</v>
      </c>
    </row>
    <row r="186" spans="2:13" ht="18" customHeight="1">
      <c r="B186" s="6"/>
      <c r="C186" s="6"/>
      <c r="D186" s="6"/>
      <c r="E186" s="6"/>
      <c r="F186" s="6"/>
      <c r="G186" s="6"/>
      <c r="H186" s="6"/>
      <c r="I186" s="31"/>
      <c r="J186" s="31"/>
      <c r="K186" s="61" t="str">
        <f>IF(C186="","",_xlfn.XLOOKUP(C186,실!$D:$D,실!$B:$B,""))</f>
        <v/>
      </c>
      <c r="L186" s="48">
        <f>COUNTIFS(개구부!C:C, B186, 개구부!D:D, "window")</f>
        <v>0</v>
      </c>
      <c r="M186" s="48">
        <f>COUNTIFS(개구부!C:C, B186, 개구부!D:D, "&lt;&gt;window")</f>
        <v>0</v>
      </c>
    </row>
    <row r="187" spans="2:13" ht="18" customHeight="1">
      <c r="B187" s="6"/>
      <c r="C187" s="6"/>
      <c r="D187" s="6"/>
      <c r="E187" s="6"/>
      <c r="F187" s="6"/>
      <c r="G187" s="6"/>
      <c r="H187" s="6"/>
      <c r="I187" s="31"/>
      <c r="J187" s="31"/>
      <c r="K187" s="61" t="str">
        <f>IF(C187="","",_xlfn.XLOOKUP(C187,실!$D:$D,실!$B:$B,""))</f>
        <v/>
      </c>
      <c r="L187" s="48">
        <f>COUNTIFS(개구부!C:C, B187, 개구부!D:D, "window")</f>
        <v>0</v>
      </c>
      <c r="M187" s="48">
        <f>COUNTIFS(개구부!C:C, B187, 개구부!D:D, "&lt;&gt;window")</f>
        <v>0</v>
      </c>
    </row>
    <row r="188" spans="2:13" ht="18" customHeight="1">
      <c r="B188" s="6"/>
      <c r="C188" s="6"/>
      <c r="D188" s="6"/>
      <c r="E188" s="6"/>
      <c r="F188" s="6"/>
      <c r="G188" s="6"/>
      <c r="H188" s="6"/>
      <c r="I188" s="31"/>
      <c r="J188" s="31"/>
      <c r="K188" s="61" t="str">
        <f>IF(C188="","",_xlfn.XLOOKUP(C188,실!$D:$D,실!$B:$B,""))</f>
        <v/>
      </c>
      <c r="L188" s="48">
        <f>COUNTIFS(개구부!C:C, B188, 개구부!D:D, "window")</f>
        <v>0</v>
      </c>
      <c r="M188" s="48">
        <f>COUNTIFS(개구부!C:C, B188, 개구부!D:D, "&lt;&gt;window")</f>
        <v>0</v>
      </c>
    </row>
    <row r="189" spans="2:13" ht="18" customHeight="1">
      <c r="B189" s="6"/>
      <c r="C189" s="6"/>
      <c r="D189" s="6"/>
      <c r="E189" s="6"/>
      <c r="F189" s="6"/>
      <c r="G189" s="6"/>
      <c r="H189" s="6"/>
      <c r="I189" s="31"/>
      <c r="J189" s="31"/>
      <c r="K189" s="61" t="str">
        <f>IF(C189="","",_xlfn.XLOOKUP(C189,실!$D:$D,실!$B:$B,""))</f>
        <v/>
      </c>
      <c r="L189" s="48">
        <f>COUNTIFS(개구부!C:C, B189, 개구부!D:D, "window")</f>
        <v>0</v>
      </c>
      <c r="M189" s="48">
        <f>COUNTIFS(개구부!C:C, B189, 개구부!D:D, "&lt;&gt;window")</f>
        <v>0</v>
      </c>
    </row>
    <row r="190" spans="2:13" ht="18" customHeight="1">
      <c r="B190" s="6"/>
      <c r="C190" s="6"/>
      <c r="D190" s="6"/>
      <c r="E190" s="6"/>
      <c r="F190" s="6"/>
      <c r="G190" s="6"/>
      <c r="H190" s="6"/>
      <c r="I190" s="31"/>
      <c r="J190" s="31"/>
      <c r="K190" s="61" t="str">
        <f>IF(C190="","",_xlfn.XLOOKUP(C190,실!$D:$D,실!$B:$B,""))</f>
        <v/>
      </c>
      <c r="L190" s="48">
        <f>COUNTIFS(개구부!C:C, B190, 개구부!D:D, "window")</f>
        <v>0</v>
      </c>
      <c r="M190" s="48">
        <f>COUNTIFS(개구부!C:C, B190, 개구부!D:D, "&lt;&gt;window")</f>
        <v>0</v>
      </c>
    </row>
    <row r="191" spans="2:13" ht="18" customHeight="1">
      <c r="B191" s="6"/>
      <c r="C191" s="6"/>
      <c r="D191" s="6"/>
      <c r="E191" s="6"/>
      <c r="F191" s="6"/>
      <c r="G191" s="6"/>
      <c r="H191" s="6"/>
      <c r="I191" s="31"/>
      <c r="J191" s="31"/>
      <c r="K191" s="61" t="str">
        <f>IF(C191="","",_xlfn.XLOOKUP(C191,실!$D:$D,실!$B:$B,""))</f>
        <v/>
      </c>
      <c r="L191" s="48">
        <f>COUNTIFS(개구부!C:C, B191, 개구부!D:D, "window")</f>
        <v>0</v>
      </c>
      <c r="M191" s="48">
        <f>COUNTIFS(개구부!C:C, B191, 개구부!D:D, "&lt;&gt;window")</f>
        <v>0</v>
      </c>
    </row>
    <row r="192" spans="2:13" ht="18" customHeight="1">
      <c r="B192" s="6"/>
      <c r="C192" s="6"/>
      <c r="D192" s="6"/>
      <c r="E192" s="6"/>
      <c r="F192" s="6"/>
      <c r="G192" s="6"/>
      <c r="H192" s="6"/>
      <c r="I192" s="31"/>
      <c r="J192" s="31"/>
      <c r="K192" s="61" t="str">
        <f>IF(C192="","",_xlfn.XLOOKUP(C192,실!$D:$D,실!$B:$B,""))</f>
        <v/>
      </c>
      <c r="L192" s="48">
        <f>COUNTIFS(개구부!C:C, B192, 개구부!D:D, "window")</f>
        <v>0</v>
      </c>
      <c r="M192" s="48">
        <f>COUNTIFS(개구부!C:C, B192, 개구부!D:D, "&lt;&gt;window")</f>
        <v>0</v>
      </c>
    </row>
    <row r="193" spans="2:13" ht="18" customHeight="1">
      <c r="B193" s="6"/>
      <c r="C193" s="6"/>
      <c r="D193" s="6"/>
      <c r="E193" s="6"/>
      <c r="F193" s="6"/>
      <c r="G193" s="6"/>
      <c r="H193" s="6"/>
      <c r="I193" s="31"/>
      <c r="J193" s="31"/>
      <c r="K193" s="61" t="str">
        <f>IF(C193="","",_xlfn.XLOOKUP(C193,실!$D:$D,실!$B:$B,""))</f>
        <v/>
      </c>
      <c r="L193" s="48">
        <f>COUNTIFS(개구부!C:C, B193, 개구부!D:D, "window")</f>
        <v>0</v>
      </c>
      <c r="M193" s="48">
        <f>COUNTIFS(개구부!C:C, B193, 개구부!D:D, "&lt;&gt;window")</f>
        <v>0</v>
      </c>
    </row>
    <row r="194" spans="2:13" ht="18" customHeight="1">
      <c r="B194" s="6"/>
      <c r="C194" s="6"/>
      <c r="D194" s="6"/>
      <c r="E194" s="6"/>
      <c r="F194" s="6"/>
      <c r="G194" s="6"/>
      <c r="H194" s="6"/>
      <c r="I194" s="31"/>
      <c r="J194" s="31"/>
      <c r="K194" s="61" t="str">
        <f>IF(C194="","",_xlfn.XLOOKUP(C194,실!$D:$D,실!$B:$B,""))</f>
        <v/>
      </c>
      <c r="L194" s="48">
        <f>COUNTIFS(개구부!C:C, B194, 개구부!D:D, "window")</f>
        <v>0</v>
      </c>
      <c r="M194" s="48">
        <f>COUNTIFS(개구부!C:C, B194, 개구부!D:D, "&lt;&gt;window")</f>
        <v>0</v>
      </c>
    </row>
    <row r="195" spans="2:13" ht="18" customHeight="1">
      <c r="B195" s="6"/>
      <c r="C195" s="6"/>
      <c r="D195" s="6"/>
      <c r="E195" s="6"/>
      <c r="F195" s="6"/>
      <c r="G195" s="6"/>
      <c r="H195" s="6"/>
      <c r="I195" s="31"/>
      <c r="J195" s="31"/>
      <c r="K195" s="61" t="str">
        <f>IF(C195="","",_xlfn.XLOOKUP(C195,실!$D:$D,실!$B:$B,""))</f>
        <v/>
      </c>
      <c r="L195" s="48">
        <f>COUNTIFS(개구부!C:C, B195, 개구부!D:D, "window")</f>
        <v>0</v>
      </c>
      <c r="M195" s="48">
        <f>COUNTIFS(개구부!C:C, B195, 개구부!D:D, "&lt;&gt;window")</f>
        <v>0</v>
      </c>
    </row>
    <row r="196" spans="2:13" ht="18" customHeight="1">
      <c r="B196" s="6"/>
      <c r="C196" s="6"/>
      <c r="D196" s="6"/>
      <c r="E196" s="6"/>
      <c r="F196" s="6"/>
      <c r="G196" s="6"/>
      <c r="H196" s="6"/>
      <c r="I196" s="31"/>
      <c r="J196" s="31"/>
      <c r="K196" s="61" t="str">
        <f>IF(C196="","",_xlfn.XLOOKUP(C196,실!$D:$D,실!$B:$B,""))</f>
        <v/>
      </c>
      <c r="L196" s="48">
        <f>COUNTIFS(개구부!C:C, B196, 개구부!D:D, "window")</f>
        <v>0</v>
      </c>
      <c r="M196" s="48">
        <f>COUNTIFS(개구부!C:C, B196, 개구부!D:D, "&lt;&gt;window")</f>
        <v>0</v>
      </c>
    </row>
    <row r="197" spans="2:13" ht="18" customHeight="1">
      <c r="B197" s="6"/>
      <c r="C197" s="6"/>
      <c r="D197" s="6"/>
      <c r="E197" s="6"/>
      <c r="F197" s="6"/>
      <c r="G197" s="6"/>
      <c r="H197" s="6"/>
      <c r="I197" s="31"/>
      <c r="J197" s="31"/>
      <c r="K197" s="61" t="str">
        <f>IF(C197="","",_xlfn.XLOOKUP(C197,실!$D:$D,실!$B:$B,""))</f>
        <v/>
      </c>
      <c r="L197" s="48">
        <f>COUNTIFS(개구부!C:C, B197, 개구부!D:D, "window")</f>
        <v>0</v>
      </c>
      <c r="M197" s="48">
        <f>COUNTIFS(개구부!C:C, B197, 개구부!D:D, "&lt;&gt;window")</f>
        <v>0</v>
      </c>
    </row>
    <row r="198" spans="2:13" ht="18" customHeight="1">
      <c r="B198" s="6"/>
      <c r="C198" s="6"/>
      <c r="D198" s="6"/>
      <c r="E198" s="6"/>
      <c r="F198" s="6"/>
      <c r="G198" s="6"/>
      <c r="H198" s="6"/>
      <c r="I198" s="31"/>
      <c r="J198" s="31"/>
      <c r="K198" s="61" t="str">
        <f>IF(C198="","",_xlfn.XLOOKUP(C198,실!$D:$D,실!$B:$B,""))</f>
        <v/>
      </c>
      <c r="L198" s="48">
        <f>COUNTIFS(개구부!C:C, B198, 개구부!D:D, "window")</f>
        <v>0</v>
      </c>
      <c r="M198" s="48">
        <f>COUNTIFS(개구부!C:C, B198, 개구부!D:D, "&lt;&gt;window")</f>
        <v>0</v>
      </c>
    </row>
    <row r="199" spans="2:13" ht="18" customHeight="1">
      <c r="B199" s="6"/>
      <c r="C199" s="6"/>
      <c r="D199" s="6"/>
      <c r="E199" s="6"/>
      <c r="F199" s="6"/>
      <c r="G199" s="6"/>
      <c r="H199" s="6"/>
      <c r="I199" s="31"/>
      <c r="J199" s="31"/>
      <c r="K199" s="61" t="str">
        <f>IF(C199="","",_xlfn.XLOOKUP(C199,실!$D:$D,실!$B:$B,""))</f>
        <v/>
      </c>
      <c r="L199" s="48">
        <f>COUNTIFS(개구부!C:C, B199, 개구부!D:D, "window")</f>
        <v>0</v>
      </c>
      <c r="M199" s="48">
        <f>COUNTIFS(개구부!C:C, B199, 개구부!D:D, "&lt;&gt;window")</f>
        <v>0</v>
      </c>
    </row>
    <row r="200" spans="2:13" ht="18" customHeight="1">
      <c r="B200" s="6"/>
      <c r="C200" s="6"/>
      <c r="D200" s="6"/>
      <c r="E200" s="6"/>
      <c r="F200" s="6"/>
      <c r="G200" s="6"/>
      <c r="H200" s="6"/>
      <c r="I200" s="31"/>
      <c r="J200" s="31"/>
      <c r="K200" s="61" t="str">
        <f>IF(C200="","",_xlfn.XLOOKUP(C200,실!$D:$D,실!$B:$B,""))</f>
        <v/>
      </c>
      <c r="L200" s="48">
        <f>COUNTIFS(개구부!C:C, B200, 개구부!D:D, "window")</f>
        <v>0</v>
      </c>
      <c r="M200" s="48">
        <f>COUNTIFS(개구부!C:C, B200, 개구부!D:D, "&lt;&gt;window")</f>
        <v>0</v>
      </c>
    </row>
    <row r="201" spans="2:13" ht="18" customHeight="1">
      <c r="B201" s="6"/>
      <c r="C201" s="6"/>
      <c r="D201" s="6"/>
      <c r="E201" s="6"/>
      <c r="F201" s="6"/>
      <c r="G201" s="6"/>
      <c r="H201" s="6"/>
      <c r="I201" s="31"/>
      <c r="J201" s="31"/>
      <c r="K201" s="61" t="str">
        <f>IF(C201="","",_xlfn.XLOOKUP(C201,실!$D:$D,실!$B:$B,""))</f>
        <v/>
      </c>
      <c r="L201" s="48">
        <f>COUNTIFS(개구부!C:C, B201, 개구부!D:D, "window")</f>
        <v>0</v>
      </c>
      <c r="M201" s="48">
        <f>COUNTIFS(개구부!C:C, B201, 개구부!D:D, "&lt;&gt;window")</f>
        <v>0</v>
      </c>
    </row>
    <row r="202" spans="2:13" ht="18" customHeight="1">
      <c r="B202" s="6"/>
      <c r="C202" s="6"/>
      <c r="D202" s="6"/>
      <c r="E202" s="6"/>
      <c r="F202" s="6"/>
      <c r="G202" s="6"/>
      <c r="H202" s="6"/>
      <c r="I202" s="31"/>
      <c r="J202" s="31"/>
      <c r="K202" s="61" t="str">
        <f>IF(C202="","",_xlfn.XLOOKUP(C202,실!$D:$D,실!$B:$B,""))</f>
        <v/>
      </c>
      <c r="L202" s="48">
        <f>COUNTIFS(개구부!C:C, B202, 개구부!D:D, "window")</f>
        <v>0</v>
      </c>
      <c r="M202" s="48">
        <f>COUNTIFS(개구부!C:C, B202, 개구부!D:D, "&lt;&gt;window")</f>
        <v>0</v>
      </c>
    </row>
    <row r="203" spans="2:13" ht="18" customHeight="1">
      <c r="B203" s="6"/>
      <c r="C203" s="6"/>
      <c r="D203" s="6"/>
      <c r="E203" s="6"/>
      <c r="F203" s="6"/>
      <c r="G203" s="6"/>
      <c r="H203" s="6"/>
      <c r="I203" s="31"/>
      <c r="J203" s="31"/>
      <c r="K203" s="61" t="str">
        <f>IF(C203="","",_xlfn.XLOOKUP(C203,실!$D:$D,실!$B:$B,""))</f>
        <v/>
      </c>
      <c r="L203" s="48">
        <f>COUNTIFS(개구부!C:C, B203, 개구부!D:D, "window")</f>
        <v>0</v>
      </c>
      <c r="M203" s="48">
        <f>COUNTIFS(개구부!C:C, B203, 개구부!D:D, "&lt;&gt;window")</f>
        <v>0</v>
      </c>
    </row>
    <row r="204" spans="2:13" ht="18" customHeight="1">
      <c r="B204" s="6"/>
      <c r="C204" s="6"/>
      <c r="D204" s="6"/>
      <c r="E204" s="6"/>
      <c r="F204" s="6"/>
      <c r="G204" s="6"/>
      <c r="H204" s="6"/>
      <c r="I204" s="31"/>
      <c r="J204" s="31"/>
      <c r="K204" s="61" t="str">
        <f>IF(C204="","",_xlfn.XLOOKUP(C204,실!$D:$D,실!$B:$B,""))</f>
        <v/>
      </c>
      <c r="L204" s="48">
        <f>COUNTIFS(개구부!C:C, B204, 개구부!D:D, "window")</f>
        <v>0</v>
      </c>
      <c r="M204" s="48">
        <f>COUNTIFS(개구부!C:C, B204, 개구부!D:D, "&lt;&gt;window")</f>
        <v>0</v>
      </c>
    </row>
    <row r="205" spans="2:13" ht="18" customHeight="1">
      <c r="B205" s="6"/>
      <c r="C205" s="6"/>
      <c r="D205" s="6"/>
      <c r="E205" s="6"/>
      <c r="F205" s="6"/>
      <c r="G205" s="6"/>
      <c r="H205" s="6"/>
      <c r="I205" s="31"/>
      <c r="J205" s="31"/>
      <c r="K205" s="61" t="str">
        <f>IF(C205="","",_xlfn.XLOOKUP(C205,실!$D:$D,실!$B:$B,""))</f>
        <v/>
      </c>
      <c r="L205" s="48">
        <f>COUNTIFS(개구부!C:C, B205, 개구부!D:D, "window")</f>
        <v>0</v>
      </c>
      <c r="M205" s="48">
        <f>COUNTIFS(개구부!C:C, B205, 개구부!D:D, "&lt;&gt;window")</f>
        <v>0</v>
      </c>
    </row>
    <row r="206" spans="2:13" ht="18" customHeight="1">
      <c r="B206" s="6"/>
      <c r="C206" s="6"/>
      <c r="D206" s="6"/>
      <c r="E206" s="6"/>
      <c r="F206" s="6"/>
      <c r="G206" s="6"/>
      <c r="H206" s="6"/>
      <c r="I206" s="31"/>
      <c r="J206" s="31"/>
      <c r="K206" s="61" t="str">
        <f>IF(C206="","",_xlfn.XLOOKUP(C206,실!$D:$D,실!$B:$B,""))</f>
        <v/>
      </c>
      <c r="L206" s="48">
        <f>COUNTIFS(개구부!C:C, B206, 개구부!D:D, "window")</f>
        <v>0</v>
      </c>
      <c r="M206" s="48">
        <f>COUNTIFS(개구부!C:C, B206, 개구부!D:D, "&lt;&gt;window")</f>
        <v>0</v>
      </c>
    </row>
    <row r="207" spans="2:13" ht="18" customHeight="1">
      <c r="B207" s="6"/>
      <c r="C207" s="6"/>
      <c r="D207" s="6"/>
      <c r="E207" s="6"/>
      <c r="F207" s="6"/>
      <c r="G207" s="6"/>
      <c r="H207" s="6"/>
      <c r="I207" s="31"/>
      <c r="J207" s="31"/>
      <c r="K207" s="61" t="str">
        <f>IF(C207="","",_xlfn.XLOOKUP(C207,실!$D:$D,실!$B:$B,""))</f>
        <v/>
      </c>
      <c r="L207" s="48">
        <f>COUNTIFS(개구부!C:C, B207, 개구부!D:D, "window")</f>
        <v>0</v>
      </c>
      <c r="M207" s="48">
        <f>COUNTIFS(개구부!C:C, B207, 개구부!D:D, "&lt;&gt;window")</f>
        <v>0</v>
      </c>
    </row>
    <row r="208" spans="2:13" ht="18" customHeight="1">
      <c r="B208" s="6"/>
      <c r="C208" s="6"/>
      <c r="D208" s="6"/>
      <c r="E208" s="6"/>
      <c r="F208" s="6"/>
      <c r="G208" s="6"/>
      <c r="H208" s="6"/>
      <c r="I208" s="31"/>
      <c r="J208" s="31"/>
      <c r="K208" s="61" t="str">
        <f>IF(C208="","",_xlfn.XLOOKUP(C208,실!$D:$D,실!$B:$B,""))</f>
        <v/>
      </c>
      <c r="L208" s="48">
        <f>COUNTIFS(개구부!C:C, B208, 개구부!D:D, "window")</f>
        <v>0</v>
      </c>
      <c r="M208" s="48">
        <f>COUNTIFS(개구부!C:C, B208, 개구부!D:D, "&lt;&gt;window")</f>
        <v>0</v>
      </c>
    </row>
    <row r="209" spans="2:13" ht="18" customHeight="1">
      <c r="B209" s="6"/>
      <c r="C209" s="6"/>
      <c r="D209" s="6"/>
      <c r="E209" s="6"/>
      <c r="F209" s="6"/>
      <c r="G209" s="6"/>
      <c r="H209" s="6"/>
      <c r="I209" s="31"/>
      <c r="J209" s="31"/>
      <c r="K209" s="61" t="str">
        <f>IF(C209="","",_xlfn.XLOOKUP(C209,실!$D:$D,실!$B:$B,""))</f>
        <v/>
      </c>
      <c r="L209" s="48">
        <f>COUNTIFS(개구부!C:C, B209, 개구부!D:D, "window")</f>
        <v>0</v>
      </c>
      <c r="M209" s="48">
        <f>COUNTIFS(개구부!C:C, B209, 개구부!D:D, "&lt;&gt;window")</f>
        <v>0</v>
      </c>
    </row>
    <row r="210" spans="2:13" ht="18" customHeight="1">
      <c r="B210" s="6"/>
      <c r="C210" s="6"/>
      <c r="D210" s="6"/>
      <c r="E210" s="6"/>
      <c r="F210" s="6"/>
      <c r="G210" s="6"/>
      <c r="H210" s="6"/>
      <c r="I210" s="31"/>
      <c r="J210" s="31"/>
      <c r="K210" s="61" t="str">
        <f>IF(C210="","",_xlfn.XLOOKUP(C210,실!$D:$D,실!$B:$B,""))</f>
        <v/>
      </c>
      <c r="L210" s="48">
        <f>COUNTIFS(개구부!C:C, B210, 개구부!D:D, "window")</f>
        <v>0</v>
      </c>
      <c r="M210" s="48">
        <f>COUNTIFS(개구부!C:C, B210, 개구부!D:D, "&lt;&gt;window")</f>
        <v>0</v>
      </c>
    </row>
    <row r="211" spans="2:13" ht="18" customHeight="1">
      <c r="B211" s="6"/>
      <c r="C211" s="6"/>
      <c r="D211" s="6"/>
      <c r="E211" s="6"/>
      <c r="F211" s="6"/>
      <c r="G211" s="6"/>
      <c r="H211" s="6"/>
      <c r="I211" s="31"/>
      <c r="J211" s="31"/>
      <c r="K211" s="61" t="str">
        <f>IF(C211="","",_xlfn.XLOOKUP(C211,실!$D:$D,실!$B:$B,""))</f>
        <v/>
      </c>
      <c r="L211" s="48">
        <f>COUNTIFS(개구부!C:C, B211, 개구부!D:D, "window")</f>
        <v>0</v>
      </c>
      <c r="M211" s="48">
        <f>COUNTIFS(개구부!C:C, B211, 개구부!D:D, "&lt;&gt;window")</f>
        <v>0</v>
      </c>
    </row>
    <row r="212" spans="2:13" ht="18" customHeight="1">
      <c r="B212" s="6"/>
      <c r="C212" s="6"/>
      <c r="D212" s="6"/>
      <c r="E212" s="6"/>
      <c r="F212" s="6"/>
      <c r="G212" s="6"/>
      <c r="H212" s="6"/>
      <c r="I212" s="31"/>
      <c r="J212" s="31"/>
      <c r="K212" s="61" t="str">
        <f>IF(C212="","",_xlfn.XLOOKUP(C212,실!$D:$D,실!$B:$B,""))</f>
        <v/>
      </c>
      <c r="L212" s="48">
        <f>COUNTIFS(개구부!C:C, B212, 개구부!D:D, "window")</f>
        <v>0</v>
      </c>
      <c r="M212" s="48">
        <f>COUNTIFS(개구부!C:C, B212, 개구부!D:D, "&lt;&gt;window")</f>
        <v>0</v>
      </c>
    </row>
    <row r="213" spans="2:13" ht="18" customHeight="1">
      <c r="B213" s="6"/>
      <c r="C213" s="6"/>
      <c r="D213" s="6"/>
      <c r="E213" s="6"/>
      <c r="F213" s="6"/>
      <c r="G213" s="6"/>
      <c r="H213" s="6"/>
      <c r="I213" s="31"/>
      <c r="J213" s="31"/>
      <c r="K213" s="61" t="str">
        <f>IF(C213="","",_xlfn.XLOOKUP(C213,실!$D:$D,실!$B:$B,""))</f>
        <v/>
      </c>
      <c r="L213" s="48">
        <f>COUNTIFS(개구부!C:C, B213, 개구부!D:D, "window")</f>
        <v>0</v>
      </c>
      <c r="M213" s="48">
        <f>COUNTIFS(개구부!C:C, B213, 개구부!D:D, "&lt;&gt;window")</f>
        <v>0</v>
      </c>
    </row>
    <row r="214" spans="2:13" ht="18" customHeight="1">
      <c r="B214" s="6"/>
      <c r="C214" s="6"/>
      <c r="D214" s="6"/>
      <c r="E214" s="6"/>
      <c r="F214" s="6"/>
      <c r="G214" s="6"/>
      <c r="H214" s="6"/>
      <c r="I214" s="31"/>
      <c r="J214" s="31"/>
      <c r="K214" s="61" t="str">
        <f>IF(C214="","",_xlfn.XLOOKUP(C214,실!$D:$D,실!$B:$B,""))</f>
        <v/>
      </c>
      <c r="L214" s="48">
        <f>COUNTIFS(개구부!C:C, B214, 개구부!D:D, "window")</f>
        <v>0</v>
      </c>
      <c r="M214" s="48">
        <f>COUNTIFS(개구부!C:C, B214, 개구부!D:D, "&lt;&gt;window")</f>
        <v>0</v>
      </c>
    </row>
    <row r="215" spans="2:13" ht="18" customHeight="1">
      <c r="B215" s="6"/>
      <c r="C215" s="6"/>
      <c r="D215" s="6"/>
      <c r="E215" s="6"/>
      <c r="F215" s="6"/>
      <c r="G215" s="6"/>
      <c r="H215" s="6"/>
      <c r="I215" s="31"/>
      <c r="J215" s="31"/>
      <c r="K215" s="61" t="str">
        <f>IF(C215="","",_xlfn.XLOOKUP(C215,실!$D:$D,실!$B:$B,""))</f>
        <v/>
      </c>
      <c r="L215" s="48">
        <f>COUNTIFS(개구부!C:C, B215, 개구부!D:D, "window")</f>
        <v>0</v>
      </c>
      <c r="M215" s="48">
        <f>COUNTIFS(개구부!C:C, B215, 개구부!D:D, "&lt;&gt;window")</f>
        <v>0</v>
      </c>
    </row>
    <row r="216" spans="2:13" ht="18" customHeight="1">
      <c r="B216" s="6"/>
      <c r="C216" s="6"/>
      <c r="D216" s="6"/>
      <c r="E216" s="6"/>
      <c r="F216" s="6"/>
      <c r="G216" s="6"/>
      <c r="H216" s="6"/>
      <c r="I216" s="31"/>
      <c r="J216" s="31"/>
      <c r="K216" s="61" t="str">
        <f>IF(C216="","",_xlfn.XLOOKUP(C216,실!$D:$D,실!$B:$B,""))</f>
        <v/>
      </c>
      <c r="L216" s="48">
        <f>COUNTIFS(개구부!C:C, B216, 개구부!D:D, "window")</f>
        <v>0</v>
      </c>
      <c r="M216" s="48">
        <f>COUNTIFS(개구부!C:C, B216, 개구부!D:D, "&lt;&gt;window")</f>
        <v>0</v>
      </c>
    </row>
    <row r="217" spans="2:13" ht="18" customHeight="1">
      <c r="B217" s="6"/>
      <c r="C217" s="6"/>
      <c r="D217" s="6"/>
      <c r="E217" s="6"/>
      <c r="F217" s="6"/>
      <c r="G217" s="6"/>
      <c r="H217" s="6"/>
      <c r="I217" s="31"/>
      <c r="J217" s="31"/>
      <c r="K217" s="61" t="str">
        <f>IF(C217="","",_xlfn.XLOOKUP(C217,실!$D:$D,실!$B:$B,""))</f>
        <v/>
      </c>
      <c r="L217" s="48">
        <f>COUNTIFS(개구부!C:C, B217, 개구부!D:D, "window")</f>
        <v>0</v>
      </c>
      <c r="M217" s="48">
        <f>COUNTIFS(개구부!C:C, B217, 개구부!D:D, "&lt;&gt;window")</f>
        <v>0</v>
      </c>
    </row>
    <row r="218" spans="2:13" ht="18" customHeight="1">
      <c r="B218" s="6"/>
      <c r="C218" s="6"/>
      <c r="D218" s="6"/>
      <c r="E218" s="6"/>
      <c r="F218" s="6"/>
      <c r="G218" s="6"/>
      <c r="H218" s="6"/>
      <c r="I218" s="31"/>
      <c r="J218" s="31"/>
      <c r="K218" s="61" t="str">
        <f>IF(C218="","",_xlfn.XLOOKUP(C218,실!$D:$D,실!$B:$B,""))</f>
        <v/>
      </c>
      <c r="L218" s="48">
        <f>COUNTIFS(개구부!C:C, B218, 개구부!D:D, "window")</f>
        <v>0</v>
      </c>
      <c r="M218" s="48">
        <f>COUNTIFS(개구부!C:C, B218, 개구부!D:D, "&lt;&gt;window")</f>
        <v>0</v>
      </c>
    </row>
    <row r="219" spans="2:13" ht="18" customHeight="1">
      <c r="B219" s="6"/>
      <c r="C219" s="6"/>
      <c r="D219" s="6"/>
      <c r="E219" s="6"/>
      <c r="F219" s="6"/>
      <c r="G219" s="6"/>
      <c r="H219" s="6"/>
      <c r="I219" s="31"/>
      <c r="J219" s="31"/>
      <c r="K219" s="61" t="str">
        <f>IF(C219="","",_xlfn.XLOOKUP(C219,실!$D:$D,실!$B:$B,""))</f>
        <v/>
      </c>
      <c r="L219" s="48">
        <f>COUNTIFS(개구부!C:C, B219, 개구부!D:D, "window")</f>
        <v>0</v>
      </c>
      <c r="M219" s="48">
        <f>COUNTIFS(개구부!C:C, B219, 개구부!D:D, "&lt;&gt;window")</f>
        <v>0</v>
      </c>
    </row>
    <row r="220" spans="2:13" ht="18" customHeight="1">
      <c r="B220" s="6"/>
      <c r="C220" s="6"/>
      <c r="D220" s="6"/>
      <c r="E220" s="6"/>
      <c r="F220" s="6"/>
      <c r="G220" s="6"/>
      <c r="H220" s="6"/>
      <c r="I220" s="31"/>
      <c r="J220" s="31"/>
      <c r="K220" s="61" t="str">
        <f>IF(C220="","",_xlfn.XLOOKUP(C220,실!$D:$D,실!$B:$B,""))</f>
        <v/>
      </c>
      <c r="L220" s="48">
        <f>COUNTIFS(개구부!C:C, B220, 개구부!D:D, "window")</f>
        <v>0</v>
      </c>
      <c r="M220" s="48">
        <f>COUNTIFS(개구부!C:C, B220, 개구부!D:D, "&lt;&gt;window")</f>
        <v>0</v>
      </c>
    </row>
    <row r="221" spans="2:13" ht="18" customHeight="1">
      <c r="B221" s="6"/>
      <c r="C221" s="6"/>
      <c r="D221" s="6"/>
      <c r="E221" s="6"/>
      <c r="F221" s="6"/>
      <c r="G221" s="6"/>
      <c r="H221" s="6"/>
      <c r="I221" s="31"/>
      <c r="J221" s="31"/>
      <c r="K221" s="61" t="str">
        <f>IF(C221="","",_xlfn.XLOOKUP(C221,실!$D:$D,실!$B:$B,""))</f>
        <v/>
      </c>
      <c r="L221" s="48">
        <f>COUNTIFS(개구부!C:C, B221, 개구부!D:D, "window")</f>
        <v>0</v>
      </c>
      <c r="M221" s="48">
        <f>COUNTIFS(개구부!C:C, B221, 개구부!D:D, "&lt;&gt;window")</f>
        <v>0</v>
      </c>
    </row>
    <row r="222" spans="2:13" ht="18" customHeight="1">
      <c r="B222" s="6"/>
      <c r="C222" s="6"/>
      <c r="D222" s="6"/>
      <c r="E222" s="6"/>
      <c r="F222" s="6"/>
      <c r="G222" s="6"/>
      <c r="H222" s="6"/>
      <c r="I222" s="31"/>
      <c r="J222" s="31"/>
      <c r="K222" s="61" t="str">
        <f>IF(C222="","",_xlfn.XLOOKUP(C222,실!$D:$D,실!$B:$B,""))</f>
        <v/>
      </c>
      <c r="L222" s="48">
        <f>COUNTIFS(개구부!C:C, B222, 개구부!D:D, "window")</f>
        <v>0</v>
      </c>
      <c r="M222" s="48">
        <f>COUNTIFS(개구부!C:C, B222, 개구부!D:D, "&lt;&gt;window")</f>
        <v>0</v>
      </c>
    </row>
    <row r="223" spans="2:13" ht="18" customHeight="1">
      <c r="B223" s="6"/>
      <c r="C223" s="6"/>
      <c r="D223" s="6"/>
      <c r="E223" s="6"/>
      <c r="F223" s="6"/>
      <c r="G223" s="6"/>
      <c r="H223" s="6"/>
      <c r="I223" s="31"/>
      <c r="J223" s="31"/>
      <c r="K223" s="61" t="str">
        <f>IF(C223="","",_xlfn.XLOOKUP(C223,실!$D:$D,실!$B:$B,""))</f>
        <v/>
      </c>
      <c r="L223" s="48">
        <f>COUNTIFS(개구부!C:C, B223, 개구부!D:D, "window")</f>
        <v>0</v>
      </c>
      <c r="M223" s="48">
        <f>COUNTIFS(개구부!C:C, B223, 개구부!D:D, "&lt;&gt;window")</f>
        <v>0</v>
      </c>
    </row>
    <row r="224" spans="2:13" ht="18" customHeight="1">
      <c r="B224" s="6"/>
      <c r="C224" s="6"/>
      <c r="D224" s="6"/>
      <c r="E224" s="6"/>
      <c r="F224" s="6"/>
      <c r="G224" s="6"/>
      <c r="H224" s="6"/>
      <c r="I224" s="31"/>
      <c r="J224" s="31"/>
      <c r="K224" s="61" t="str">
        <f>IF(C224="","",_xlfn.XLOOKUP(C224,실!$D:$D,실!$B:$B,""))</f>
        <v/>
      </c>
      <c r="L224" s="48">
        <f>COUNTIFS(개구부!C:C, B224, 개구부!D:D, "window")</f>
        <v>0</v>
      </c>
      <c r="M224" s="48">
        <f>COUNTIFS(개구부!C:C, B224, 개구부!D:D, "&lt;&gt;window")</f>
        <v>0</v>
      </c>
    </row>
    <row r="225" spans="2:13" ht="18" customHeight="1">
      <c r="B225" s="6"/>
      <c r="C225" s="6"/>
      <c r="D225" s="6"/>
      <c r="E225" s="6"/>
      <c r="F225" s="6"/>
      <c r="G225" s="6"/>
      <c r="H225" s="6"/>
      <c r="I225" s="31"/>
      <c r="J225" s="31"/>
      <c r="K225" s="61" t="str">
        <f>IF(C225="","",_xlfn.XLOOKUP(C225,실!$D:$D,실!$B:$B,""))</f>
        <v/>
      </c>
      <c r="L225" s="48">
        <f>COUNTIFS(개구부!C:C, B225, 개구부!D:D, "window")</f>
        <v>0</v>
      </c>
      <c r="M225" s="48">
        <f>COUNTIFS(개구부!C:C, B225, 개구부!D:D, "&lt;&gt;window")</f>
        <v>0</v>
      </c>
    </row>
    <row r="226" spans="2:13" ht="18" customHeight="1">
      <c r="B226" s="6"/>
      <c r="C226" s="6"/>
      <c r="D226" s="6"/>
      <c r="E226" s="6"/>
      <c r="F226" s="6"/>
      <c r="G226" s="6"/>
      <c r="H226" s="6"/>
      <c r="I226" s="31"/>
      <c r="J226" s="31"/>
      <c r="K226" s="61" t="str">
        <f>IF(C226="","",_xlfn.XLOOKUP(C226,실!$D:$D,실!$B:$B,""))</f>
        <v/>
      </c>
      <c r="L226" s="48">
        <f>COUNTIFS(개구부!C:C, B226, 개구부!D:D, "window")</f>
        <v>0</v>
      </c>
      <c r="M226" s="48">
        <f>COUNTIFS(개구부!C:C, B226, 개구부!D:D, "&lt;&gt;window")</f>
        <v>0</v>
      </c>
    </row>
    <row r="227" spans="2:13" ht="18" customHeight="1">
      <c r="B227" s="6"/>
      <c r="C227" s="6"/>
      <c r="D227" s="6"/>
      <c r="E227" s="6"/>
      <c r="F227" s="6"/>
      <c r="G227" s="6"/>
      <c r="H227" s="6"/>
      <c r="I227" s="31"/>
      <c r="J227" s="31"/>
      <c r="K227" s="61" t="str">
        <f>IF(C227="","",_xlfn.XLOOKUP(C227,실!$D:$D,실!$B:$B,""))</f>
        <v/>
      </c>
      <c r="L227" s="48">
        <f>COUNTIFS(개구부!C:C, B227, 개구부!D:D, "window")</f>
        <v>0</v>
      </c>
      <c r="M227" s="48">
        <f>COUNTIFS(개구부!C:C, B227, 개구부!D:D, "&lt;&gt;window")</f>
        <v>0</v>
      </c>
    </row>
    <row r="228" spans="2:13" ht="18" customHeight="1">
      <c r="B228" s="6"/>
      <c r="C228" s="6"/>
      <c r="D228" s="6"/>
      <c r="E228" s="6"/>
      <c r="F228" s="6"/>
      <c r="G228" s="6"/>
      <c r="H228" s="6"/>
      <c r="I228" s="31"/>
      <c r="J228" s="31"/>
      <c r="K228" s="61" t="str">
        <f>IF(C228="","",_xlfn.XLOOKUP(C228,실!$D:$D,실!$B:$B,""))</f>
        <v/>
      </c>
      <c r="L228" s="48">
        <f>COUNTIFS(개구부!C:C, B228, 개구부!D:D, "window")</f>
        <v>0</v>
      </c>
      <c r="M228" s="48">
        <f>COUNTIFS(개구부!C:C, B228, 개구부!D:D, "&lt;&gt;window")</f>
        <v>0</v>
      </c>
    </row>
    <row r="229" spans="2:13" ht="18" customHeight="1">
      <c r="B229" s="6"/>
      <c r="C229" s="6"/>
      <c r="D229" s="6"/>
      <c r="E229" s="6"/>
      <c r="F229" s="6"/>
      <c r="G229" s="6"/>
      <c r="H229" s="6"/>
      <c r="I229" s="31"/>
      <c r="J229" s="31"/>
      <c r="K229" s="61" t="str">
        <f>IF(C229="","",_xlfn.XLOOKUP(C229,실!$D:$D,실!$B:$B,""))</f>
        <v/>
      </c>
      <c r="L229" s="48">
        <f>COUNTIFS(개구부!C:C, B229, 개구부!D:D, "window")</f>
        <v>0</v>
      </c>
      <c r="M229" s="48">
        <f>COUNTIFS(개구부!C:C, B229, 개구부!D:D, "&lt;&gt;window")</f>
        <v>0</v>
      </c>
    </row>
    <row r="230" spans="2:13" ht="18" customHeight="1">
      <c r="B230" s="6"/>
      <c r="C230" s="6"/>
      <c r="D230" s="6"/>
      <c r="E230" s="6"/>
      <c r="F230" s="6"/>
      <c r="G230" s="6"/>
      <c r="H230" s="6"/>
      <c r="I230" s="31"/>
      <c r="J230" s="31"/>
      <c r="K230" s="61" t="str">
        <f>IF(C230="","",_xlfn.XLOOKUP(C230,실!$D:$D,실!$B:$B,""))</f>
        <v/>
      </c>
      <c r="L230" s="48">
        <f>COUNTIFS(개구부!C:C, B230, 개구부!D:D, "window")</f>
        <v>0</v>
      </c>
      <c r="M230" s="48">
        <f>COUNTIFS(개구부!C:C, B230, 개구부!D:D, "&lt;&gt;window")</f>
        <v>0</v>
      </c>
    </row>
    <row r="231" spans="2:13" ht="18" customHeight="1">
      <c r="B231" s="6"/>
      <c r="C231" s="6"/>
      <c r="D231" s="6"/>
      <c r="E231" s="6"/>
      <c r="F231" s="6"/>
      <c r="G231" s="6"/>
      <c r="H231" s="6"/>
      <c r="I231" s="31"/>
      <c r="J231" s="31"/>
      <c r="K231" s="61" t="str">
        <f>IF(C231="","",_xlfn.XLOOKUP(C231,실!$D:$D,실!$B:$B,""))</f>
        <v/>
      </c>
      <c r="L231" s="48">
        <f>COUNTIFS(개구부!C:C, B231, 개구부!D:D, "window")</f>
        <v>0</v>
      </c>
      <c r="M231" s="48">
        <f>COUNTIFS(개구부!C:C, B231, 개구부!D:D, "&lt;&gt;window")</f>
        <v>0</v>
      </c>
    </row>
    <row r="232" spans="2:13" ht="18" customHeight="1">
      <c r="B232" s="6"/>
      <c r="C232" s="6"/>
      <c r="D232" s="6"/>
      <c r="E232" s="6"/>
      <c r="F232" s="6"/>
      <c r="G232" s="6"/>
      <c r="H232" s="6"/>
      <c r="I232" s="31"/>
      <c r="J232" s="31"/>
      <c r="K232" s="61" t="str">
        <f>IF(C232="","",_xlfn.XLOOKUP(C232,실!$D:$D,실!$B:$B,""))</f>
        <v/>
      </c>
      <c r="L232" s="48">
        <f>COUNTIFS(개구부!C:C, B232, 개구부!D:D, "window")</f>
        <v>0</v>
      </c>
      <c r="M232" s="48">
        <f>COUNTIFS(개구부!C:C, B232, 개구부!D:D, "&lt;&gt;window")</f>
        <v>0</v>
      </c>
    </row>
    <row r="233" spans="2:13" ht="18" customHeight="1">
      <c r="B233" s="6"/>
      <c r="C233" s="6"/>
      <c r="D233" s="6"/>
      <c r="E233" s="6"/>
      <c r="F233" s="6"/>
      <c r="G233" s="6"/>
      <c r="H233" s="6"/>
      <c r="I233" s="31"/>
      <c r="J233" s="31"/>
      <c r="K233" s="61" t="str">
        <f>IF(C233="","",_xlfn.XLOOKUP(C233,실!$D:$D,실!$B:$B,""))</f>
        <v/>
      </c>
      <c r="L233" s="48">
        <f>COUNTIFS(개구부!C:C, B233, 개구부!D:D, "window")</f>
        <v>0</v>
      </c>
      <c r="M233" s="48">
        <f>COUNTIFS(개구부!C:C, B233, 개구부!D:D, "&lt;&gt;window")</f>
        <v>0</v>
      </c>
    </row>
    <row r="234" spans="2:13" ht="18" customHeight="1">
      <c r="B234" s="6"/>
      <c r="C234" s="6"/>
      <c r="D234" s="6"/>
      <c r="E234" s="6"/>
      <c r="F234" s="6"/>
      <c r="G234" s="6"/>
      <c r="H234" s="6"/>
      <c r="I234" s="31"/>
      <c r="J234" s="31"/>
      <c r="K234" s="61" t="str">
        <f>IF(C234="","",_xlfn.XLOOKUP(C234,실!$D:$D,실!$B:$B,""))</f>
        <v/>
      </c>
      <c r="L234" s="48">
        <f>COUNTIFS(개구부!C:C, B234, 개구부!D:D, "window")</f>
        <v>0</v>
      </c>
      <c r="M234" s="48">
        <f>COUNTIFS(개구부!C:C, B234, 개구부!D:D, "&lt;&gt;window")</f>
        <v>0</v>
      </c>
    </row>
    <row r="235" spans="2:13" ht="18" customHeight="1">
      <c r="B235" s="6"/>
      <c r="C235" s="6"/>
      <c r="D235" s="6"/>
      <c r="E235" s="6"/>
      <c r="F235" s="6"/>
      <c r="G235" s="6"/>
      <c r="H235" s="6"/>
      <c r="I235" s="31"/>
      <c r="J235" s="31"/>
      <c r="K235" s="61" t="str">
        <f>IF(C235="","",_xlfn.XLOOKUP(C235,실!$D:$D,실!$B:$B,""))</f>
        <v/>
      </c>
      <c r="L235" s="48">
        <f>COUNTIFS(개구부!C:C, B235, 개구부!D:D, "window")</f>
        <v>0</v>
      </c>
      <c r="M235" s="48">
        <f>COUNTIFS(개구부!C:C, B235, 개구부!D:D, "&lt;&gt;window")</f>
        <v>0</v>
      </c>
    </row>
    <row r="236" spans="2:13" ht="18" customHeight="1">
      <c r="B236" s="6"/>
      <c r="C236" s="6"/>
      <c r="D236" s="6"/>
      <c r="E236" s="6"/>
      <c r="F236" s="6"/>
      <c r="G236" s="6"/>
      <c r="H236" s="6"/>
      <c r="I236" s="31"/>
      <c r="J236" s="31"/>
      <c r="K236" s="61" t="str">
        <f>IF(C236="","",_xlfn.XLOOKUP(C236,실!$D:$D,실!$B:$B,""))</f>
        <v/>
      </c>
      <c r="L236" s="48">
        <f>COUNTIFS(개구부!C:C, B236, 개구부!D:D, "window")</f>
        <v>0</v>
      </c>
      <c r="M236" s="48">
        <f>COUNTIFS(개구부!C:C, B236, 개구부!D:D, "&lt;&gt;window")</f>
        <v>0</v>
      </c>
    </row>
    <row r="237" spans="2:13" ht="18" customHeight="1">
      <c r="B237" s="6"/>
      <c r="C237" s="6"/>
      <c r="D237" s="6"/>
      <c r="E237" s="6"/>
      <c r="F237" s="6"/>
      <c r="G237" s="6"/>
      <c r="H237" s="6"/>
      <c r="I237" s="31"/>
      <c r="J237" s="31"/>
      <c r="K237" s="61" t="str">
        <f>IF(C237="","",_xlfn.XLOOKUP(C237,실!$D:$D,실!$B:$B,""))</f>
        <v/>
      </c>
      <c r="L237" s="48">
        <f>COUNTIFS(개구부!C:C, B237, 개구부!D:D, "window")</f>
        <v>0</v>
      </c>
      <c r="M237" s="48">
        <f>COUNTIFS(개구부!C:C, B237, 개구부!D:D, "&lt;&gt;window")</f>
        <v>0</v>
      </c>
    </row>
    <row r="238" spans="2:13" ht="18" customHeight="1">
      <c r="B238" s="6"/>
      <c r="C238" s="6"/>
      <c r="D238" s="6"/>
      <c r="E238" s="6"/>
      <c r="F238" s="6"/>
      <c r="G238" s="6"/>
      <c r="H238" s="6"/>
      <c r="I238" s="31"/>
      <c r="J238" s="31"/>
      <c r="K238" s="61" t="str">
        <f>IF(C238="","",_xlfn.XLOOKUP(C238,실!$D:$D,실!$B:$B,""))</f>
        <v/>
      </c>
      <c r="L238" s="48">
        <f>COUNTIFS(개구부!C:C, B238, 개구부!D:D, "window")</f>
        <v>0</v>
      </c>
      <c r="M238" s="48">
        <f>COUNTIFS(개구부!C:C, B238, 개구부!D:D, "&lt;&gt;window")</f>
        <v>0</v>
      </c>
    </row>
    <row r="239" spans="2:13" ht="18" customHeight="1">
      <c r="B239" s="6"/>
      <c r="C239" s="6"/>
      <c r="D239" s="6"/>
      <c r="E239" s="6"/>
      <c r="F239" s="6"/>
      <c r="G239" s="6"/>
      <c r="H239" s="6"/>
      <c r="I239" s="31"/>
      <c r="J239" s="31"/>
      <c r="K239" s="61" t="str">
        <f>IF(C239="","",_xlfn.XLOOKUP(C239,실!$D:$D,실!$B:$B,""))</f>
        <v/>
      </c>
      <c r="L239" s="48">
        <f>COUNTIFS(개구부!C:C, B239, 개구부!D:D, "window")</f>
        <v>0</v>
      </c>
      <c r="M239" s="48">
        <f>COUNTIFS(개구부!C:C, B239, 개구부!D:D, "&lt;&gt;window")</f>
        <v>0</v>
      </c>
    </row>
    <row r="240" spans="2:13" ht="18" customHeight="1">
      <c r="B240" s="6"/>
      <c r="C240" s="6"/>
      <c r="D240" s="6"/>
      <c r="E240" s="6"/>
      <c r="F240" s="6"/>
      <c r="G240" s="6"/>
      <c r="H240" s="6"/>
      <c r="I240" s="31"/>
      <c r="J240" s="31"/>
      <c r="K240" s="61" t="str">
        <f>IF(C240="","",_xlfn.XLOOKUP(C240,실!$D:$D,실!$B:$B,""))</f>
        <v/>
      </c>
      <c r="L240" s="48">
        <f>COUNTIFS(개구부!C:C, B240, 개구부!D:D, "window")</f>
        <v>0</v>
      </c>
      <c r="M240" s="48">
        <f>COUNTIFS(개구부!C:C, B240, 개구부!D:D, "&lt;&gt;window")</f>
        <v>0</v>
      </c>
    </row>
    <row r="241" spans="2:13" ht="18" customHeight="1">
      <c r="B241" s="6"/>
      <c r="C241" s="6"/>
      <c r="D241" s="6"/>
      <c r="E241" s="6"/>
      <c r="F241" s="6"/>
      <c r="G241" s="6"/>
      <c r="H241" s="6"/>
      <c r="I241" s="31"/>
      <c r="J241" s="31"/>
      <c r="K241" s="61" t="str">
        <f>IF(C241="","",_xlfn.XLOOKUP(C241,실!$D:$D,실!$B:$B,""))</f>
        <v/>
      </c>
      <c r="L241" s="48">
        <f>COUNTIFS(개구부!C:C, B241, 개구부!D:D, "window")</f>
        <v>0</v>
      </c>
      <c r="M241" s="48">
        <f>COUNTIFS(개구부!C:C, B241, 개구부!D:D, "&lt;&gt;window")</f>
        <v>0</v>
      </c>
    </row>
    <row r="242" spans="2:13" ht="18" customHeight="1">
      <c r="B242" s="6"/>
      <c r="C242" s="6"/>
      <c r="D242" s="6"/>
      <c r="E242" s="6"/>
      <c r="F242" s="6"/>
      <c r="G242" s="6"/>
      <c r="H242" s="6"/>
      <c r="I242" s="31"/>
      <c r="J242" s="31"/>
      <c r="K242" s="61" t="str">
        <f>IF(C242="","",_xlfn.XLOOKUP(C242,실!$D:$D,실!$B:$B,""))</f>
        <v/>
      </c>
      <c r="L242" s="48">
        <f>COUNTIFS(개구부!C:C, B242, 개구부!D:D, "window")</f>
        <v>0</v>
      </c>
      <c r="M242" s="48">
        <f>COUNTIFS(개구부!C:C, B242, 개구부!D:D, "&lt;&gt;window")</f>
        <v>0</v>
      </c>
    </row>
    <row r="243" spans="2:13" ht="18" customHeight="1">
      <c r="B243" s="6"/>
      <c r="C243" s="6"/>
      <c r="D243" s="6"/>
      <c r="E243" s="6"/>
      <c r="F243" s="6"/>
      <c r="G243" s="6"/>
      <c r="H243" s="6"/>
      <c r="I243" s="31"/>
      <c r="J243" s="31"/>
      <c r="K243" s="61" t="str">
        <f>IF(C243="","",_xlfn.XLOOKUP(C243,실!$D:$D,실!$B:$B,""))</f>
        <v/>
      </c>
      <c r="L243" s="48">
        <f>COUNTIFS(개구부!C:C, B243, 개구부!D:D, "window")</f>
        <v>0</v>
      </c>
      <c r="M243" s="48">
        <f>COUNTIFS(개구부!C:C, B243, 개구부!D:D, "&lt;&gt;window")</f>
        <v>0</v>
      </c>
    </row>
    <row r="244" spans="2:13" ht="18" customHeight="1">
      <c r="B244" s="6"/>
      <c r="C244" s="6"/>
      <c r="D244" s="6"/>
      <c r="E244" s="6"/>
      <c r="F244" s="6"/>
      <c r="G244" s="6"/>
      <c r="H244" s="6"/>
      <c r="I244" s="31"/>
      <c r="J244" s="31"/>
      <c r="K244" s="61" t="str">
        <f>IF(C244="","",_xlfn.XLOOKUP(C244,실!$D:$D,실!$B:$B,""))</f>
        <v/>
      </c>
      <c r="L244" s="48">
        <f>COUNTIFS(개구부!C:C, B244, 개구부!D:D, "window")</f>
        <v>0</v>
      </c>
      <c r="M244" s="48">
        <f>COUNTIFS(개구부!C:C, B244, 개구부!D:D, "&lt;&gt;window")</f>
        <v>0</v>
      </c>
    </row>
    <row r="245" spans="2:13" ht="18" customHeight="1">
      <c r="B245" s="6"/>
      <c r="C245" s="6"/>
      <c r="D245" s="6"/>
      <c r="E245" s="6"/>
      <c r="F245" s="6"/>
      <c r="G245" s="6"/>
      <c r="H245" s="6"/>
      <c r="I245" s="31"/>
      <c r="J245" s="31"/>
      <c r="K245" s="61" t="str">
        <f>IF(C245="","",_xlfn.XLOOKUP(C245,실!$D:$D,실!$B:$B,""))</f>
        <v/>
      </c>
      <c r="L245" s="48">
        <f>COUNTIFS(개구부!C:C, B245, 개구부!D:D, "window")</f>
        <v>0</v>
      </c>
      <c r="M245" s="48">
        <f>COUNTIFS(개구부!C:C, B245, 개구부!D:D, "&lt;&gt;window")</f>
        <v>0</v>
      </c>
    </row>
    <row r="246" spans="2:13" ht="18" customHeight="1">
      <c r="B246" s="6"/>
      <c r="C246" s="6"/>
      <c r="D246" s="6"/>
      <c r="E246" s="6"/>
      <c r="F246" s="6"/>
      <c r="G246" s="6"/>
      <c r="H246" s="6"/>
      <c r="I246" s="31"/>
      <c r="J246" s="31"/>
      <c r="K246" s="61" t="str">
        <f>IF(C246="","",_xlfn.XLOOKUP(C246,실!$D:$D,실!$B:$B,""))</f>
        <v/>
      </c>
      <c r="L246" s="48">
        <f>COUNTIFS(개구부!C:C, B246, 개구부!D:D, "window")</f>
        <v>0</v>
      </c>
      <c r="M246" s="48">
        <f>COUNTIFS(개구부!C:C, B246, 개구부!D:D, "&lt;&gt;window")</f>
        <v>0</v>
      </c>
    </row>
    <row r="247" spans="2:13" ht="18" customHeight="1">
      <c r="B247" s="6"/>
      <c r="C247" s="6"/>
      <c r="D247" s="6"/>
      <c r="E247" s="6"/>
      <c r="F247" s="6"/>
      <c r="G247" s="6"/>
      <c r="H247" s="6"/>
      <c r="I247" s="31"/>
      <c r="J247" s="31"/>
      <c r="K247" s="61" t="str">
        <f>IF(C247="","",_xlfn.XLOOKUP(C247,실!$D:$D,실!$B:$B,""))</f>
        <v/>
      </c>
      <c r="L247" s="48">
        <f>COUNTIFS(개구부!C:C, B247, 개구부!D:D, "window")</f>
        <v>0</v>
      </c>
      <c r="M247" s="48">
        <f>COUNTIFS(개구부!C:C, B247, 개구부!D:D, "&lt;&gt;window")</f>
        <v>0</v>
      </c>
    </row>
    <row r="248" spans="2:13" ht="18" customHeight="1">
      <c r="B248" s="6"/>
      <c r="C248" s="6"/>
      <c r="D248" s="6"/>
      <c r="E248" s="6"/>
      <c r="F248" s="6"/>
      <c r="G248" s="6"/>
      <c r="H248" s="6"/>
      <c r="I248" s="31"/>
      <c r="J248" s="31"/>
      <c r="K248" s="61" t="str">
        <f>IF(C248="","",_xlfn.XLOOKUP(C248,실!$D:$D,실!$B:$B,""))</f>
        <v/>
      </c>
      <c r="L248" s="48">
        <f>COUNTIFS(개구부!C:C, B248, 개구부!D:D, "window")</f>
        <v>0</v>
      </c>
      <c r="M248" s="48">
        <f>COUNTIFS(개구부!C:C, B248, 개구부!D:D, "&lt;&gt;window")</f>
        <v>0</v>
      </c>
    </row>
    <row r="249" spans="2:13" ht="18" customHeight="1">
      <c r="B249" s="6"/>
      <c r="C249" s="6"/>
      <c r="D249" s="6"/>
      <c r="E249" s="6"/>
      <c r="F249" s="6"/>
      <c r="G249" s="6"/>
      <c r="H249" s="6"/>
      <c r="I249" s="31"/>
      <c r="J249" s="31"/>
      <c r="K249" s="61" t="str">
        <f>IF(C249="","",_xlfn.XLOOKUP(C249,실!$D:$D,실!$B:$B,""))</f>
        <v/>
      </c>
      <c r="L249" s="48">
        <f>COUNTIFS(개구부!C:C, B249, 개구부!D:D, "window")</f>
        <v>0</v>
      </c>
      <c r="M249" s="48">
        <f>COUNTIFS(개구부!C:C, B249, 개구부!D:D, "&lt;&gt;window")</f>
        <v>0</v>
      </c>
    </row>
    <row r="250" spans="2:13" ht="18" customHeight="1">
      <c r="B250" s="6"/>
      <c r="C250" s="6"/>
      <c r="D250" s="6"/>
      <c r="E250" s="6"/>
      <c r="F250" s="6"/>
      <c r="G250" s="6"/>
      <c r="H250" s="6"/>
      <c r="I250" s="31"/>
      <c r="J250" s="31"/>
      <c r="K250" s="61" t="str">
        <f>IF(C250="","",_xlfn.XLOOKUP(C250,실!$D:$D,실!$B:$B,""))</f>
        <v/>
      </c>
      <c r="L250" s="48">
        <f>COUNTIFS(개구부!C:C, B250, 개구부!D:D, "window")</f>
        <v>0</v>
      </c>
      <c r="M250" s="48">
        <f>COUNTIFS(개구부!C:C, B250, 개구부!D:D, "&lt;&gt;window")</f>
        <v>0</v>
      </c>
    </row>
    <row r="251" spans="2:13" ht="18" customHeight="1">
      <c r="B251" s="6"/>
      <c r="C251" s="6"/>
      <c r="D251" s="6"/>
      <c r="E251" s="6"/>
      <c r="F251" s="6"/>
      <c r="G251" s="6"/>
      <c r="H251" s="6"/>
      <c r="I251" s="31"/>
      <c r="J251" s="31"/>
      <c r="K251" s="61" t="str">
        <f>IF(C251="","",_xlfn.XLOOKUP(C251,실!$D:$D,실!$B:$B,""))</f>
        <v/>
      </c>
      <c r="L251" s="48">
        <f>COUNTIFS(개구부!C:C, B251, 개구부!D:D, "window")</f>
        <v>0</v>
      </c>
      <c r="M251" s="48">
        <f>COUNTIFS(개구부!C:C, B251, 개구부!D:D, "&lt;&gt;window")</f>
        <v>0</v>
      </c>
    </row>
    <row r="252" spans="2:13" ht="18" customHeight="1">
      <c r="B252" s="6"/>
      <c r="C252" s="6"/>
      <c r="D252" s="6"/>
      <c r="E252" s="6"/>
      <c r="F252" s="6"/>
      <c r="G252" s="6"/>
      <c r="H252" s="6"/>
      <c r="I252" s="31"/>
      <c r="J252" s="31"/>
      <c r="K252" s="61" t="str">
        <f>IF(C252="","",_xlfn.XLOOKUP(C252,실!$D:$D,실!$B:$B,""))</f>
        <v/>
      </c>
      <c r="L252" s="48">
        <f>COUNTIFS(개구부!C:C, B252, 개구부!D:D, "window")</f>
        <v>0</v>
      </c>
      <c r="M252" s="48">
        <f>COUNTIFS(개구부!C:C, B252, 개구부!D:D, "&lt;&gt;window")</f>
        <v>0</v>
      </c>
    </row>
    <row r="253" spans="2:13" ht="18" customHeight="1">
      <c r="B253" s="6"/>
      <c r="C253" s="6"/>
      <c r="D253" s="6"/>
      <c r="E253" s="6"/>
      <c r="F253" s="6"/>
      <c r="G253" s="6"/>
      <c r="H253" s="6"/>
      <c r="I253" s="31"/>
      <c r="J253" s="31"/>
      <c r="K253" s="61" t="str">
        <f>IF(C253="","",_xlfn.XLOOKUP(C253,실!$D:$D,실!$B:$B,""))</f>
        <v/>
      </c>
      <c r="L253" s="48">
        <f>COUNTIFS(개구부!C:C, B253, 개구부!D:D, "window")</f>
        <v>0</v>
      </c>
      <c r="M253" s="48">
        <f>COUNTIFS(개구부!C:C, B253, 개구부!D:D, "&lt;&gt;window")</f>
        <v>0</v>
      </c>
    </row>
    <row r="254" spans="2:13" ht="18" customHeight="1">
      <c r="B254" s="6"/>
      <c r="C254" s="6"/>
      <c r="D254" s="6"/>
      <c r="E254" s="6"/>
      <c r="F254" s="6"/>
      <c r="G254" s="6"/>
      <c r="H254" s="6"/>
      <c r="I254" s="31"/>
      <c r="J254" s="31"/>
      <c r="K254" s="61" t="str">
        <f>IF(C254="","",_xlfn.XLOOKUP(C254,실!$D:$D,실!$B:$B,""))</f>
        <v/>
      </c>
      <c r="L254" s="48">
        <f>COUNTIFS(개구부!C:C, B254, 개구부!D:D, "window")</f>
        <v>0</v>
      </c>
      <c r="M254" s="48">
        <f>COUNTIFS(개구부!C:C, B254, 개구부!D:D, "&lt;&gt;window")</f>
        <v>0</v>
      </c>
    </row>
    <row r="255" spans="2:13" ht="18" customHeight="1">
      <c r="B255" s="6"/>
      <c r="C255" s="6"/>
      <c r="D255" s="6"/>
      <c r="E255" s="6"/>
      <c r="F255" s="6"/>
      <c r="G255" s="6"/>
      <c r="H255" s="6"/>
      <c r="I255" s="31"/>
      <c r="J255" s="31"/>
      <c r="K255" s="61" t="str">
        <f>IF(C255="","",_xlfn.XLOOKUP(C255,실!$D:$D,실!$B:$B,""))</f>
        <v/>
      </c>
      <c r="L255" s="48">
        <f>COUNTIFS(개구부!C:C, B255, 개구부!D:D, "window")</f>
        <v>0</v>
      </c>
      <c r="M255" s="48">
        <f>COUNTIFS(개구부!C:C, B255, 개구부!D:D, "&lt;&gt;window")</f>
        <v>0</v>
      </c>
    </row>
    <row r="256" spans="2:13" ht="18" customHeight="1">
      <c r="B256" s="6"/>
      <c r="C256" s="6"/>
      <c r="D256" s="6"/>
      <c r="E256" s="6"/>
      <c r="F256" s="6"/>
      <c r="G256" s="6"/>
      <c r="H256" s="6"/>
      <c r="I256" s="31"/>
      <c r="J256" s="31"/>
      <c r="K256" s="61" t="str">
        <f>IF(C256="","",_xlfn.XLOOKUP(C256,실!$D:$D,실!$B:$B,""))</f>
        <v/>
      </c>
      <c r="L256" s="48">
        <f>COUNTIFS(개구부!C:C, B256, 개구부!D:D, "window")</f>
        <v>0</v>
      </c>
      <c r="M256" s="48">
        <f>COUNTIFS(개구부!C:C, B256, 개구부!D:D, "&lt;&gt;window")</f>
        <v>0</v>
      </c>
    </row>
    <row r="257" spans="2:13" ht="18" customHeight="1">
      <c r="B257" s="6"/>
      <c r="C257" s="6"/>
      <c r="D257" s="6"/>
      <c r="E257" s="6"/>
      <c r="F257" s="6"/>
      <c r="G257" s="6"/>
      <c r="H257" s="6"/>
      <c r="I257" s="31"/>
      <c r="J257" s="31"/>
      <c r="K257" s="61" t="str">
        <f>IF(C257="","",_xlfn.XLOOKUP(C257,실!$D:$D,실!$B:$B,""))</f>
        <v/>
      </c>
      <c r="L257" s="48">
        <f>COUNTIFS(개구부!C:C, B257, 개구부!D:D, "window")</f>
        <v>0</v>
      </c>
      <c r="M257" s="48">
        <f>COUNTIFS(개구부!C:C, B257, 개구부!D:D, "&lt;&gt;window")</f>
        <v>0</v>
      </c>
    </row>
    <row r="258" spans="2:13" ht="18" customHeight="1">
      <c r="B258" s="6"/>
      <c r="C258" s="6"/>
      <c r="D258" s="6"/>
      <c r="E258" s="6"/>
      <c r="F258" s="6"/>
      <c r="G258" s="6"/>
      <c r="H258" s="6"/>
      <c r="I258" s="31"/>
      <c r="J258" s="31"/>
      <c r="K258" s="61" t="str">
        <f>IF(C258="","",_xlfn.XLOOKUP(C258,실!$D:$D,실!$B:$B,""))</f>
        <v/>
      </c>
      <c r="L258" s="48">
        <f>COUNTIFS(개구부!C:C, B258, 개구부!D:D, "window")</f>
        <v>0</v>
      </c>
      <c r="M258" s="48">
        <f>COUNTIFS(개구부!C:C, B258, 개구부!D:D, "&lt;&gt;window")</f>
        <v>0</v>
      </c>
    </row>
    <row r="259" spans="2:13" ht="18" customHeight="1">
      <c r="B259" s="6"/>
      <c r="C259" s="6"/>
      <c r="D259" s="6"/>
      <c r="E259" s="6"/>
      <c r="F259" s="6"/>
      <c r="G259" s="6"/>
      <c r="H259" s="6"/>
      <c r="I259" s="31"/>
      <c r="J259" s="31"/>
      <c r="K259" s="61" t="str">
        <f>IF(C259="","",_xlfn.XLOOKUP(C259,실!$D:$D,실!$B:$B,""))</f>
        <v/>
      </c>
      <c r="L259" s="48">
        <f>COUNTIFS(개구부!C:C, B259, 개구부!D:D, "window")</f>
        <v>0</v>
      </c>
      <c r="M259" s="48">
        <f>COUNTIFS(개구부!C:C, B259, 개구부!D:D, "&lt;&gt;window")</f>
        <v>0</v>
      </c>
    </row>
    <row r="260" spans="2:13" ht="18" customHeight="1">
      <c r="B260" s="6"/>
      <c r="C260" s="6"/>
      <c r="D260" s="6"/>
      <c r="E260" s="6"/>
      <c r="F260" s="6"/>
      <c r="G260" s="6"/>
      <c r="H260" s="6"/>
      <c r="I260" s="31"/>
      <c r="J260" s="31"/>
      <c r="K260" s="61" t="str">
        <f>IF(C260="","",_xlfn.XLOOKUP(C260,실!$D:$D,실!$B:$B,""))</f>
        <v/>
      </c>
      <c r="L260" s="48">
        <f>COUNTIFS(개구부!C:C, B260, 개구부!D:D, "window")</f>
        <v>0</v>
      </c>
      <c r="M260" s="48">
        <f>COUNTIFS(개구부!C:C, B260, 개구부!D:D, "&lt;&gt;window")</f>
        <v>0</v>
      </c>
    </row>
    <row r="261" spans="2:13" ht="18" customHeight="1">
      <c r="B261" s="6"/>
      <c r="C261" s="6"/>
      <c r="D261" s="6"/>
      <c r="E261" s="6"/>
      <c r="F261" s="6"/>
      <c r="G261" s="6"/>
      <c r="H261" s="6"/>
      <c r="I261" s="31"/>
      <c r="J261" s="31"/>
      <c r="K261" s="61" t="str">
        <f>IF(C261="","",_xlfn.XLOOKUP(C261,실!$D:$D,실!$B:$B,""))</f>
        <v/>
      </c>
      <c r="L261" s="48">
        <f>COUNTIFS(개구부!C:C, B261, 개구부!D:D, "window")</f>
        <v>0</v>
      </c>
      <c r="M261" s="48">
        <f>COUNTIFS(개구부!C:C, B261, 개구부!D:D, "&lt;&gt;window")</f>
        <v>0</v>
      </c>
    </row>
    <row r="262" spans="2:13" ht="18" customHeight="1">
      <c r="B262" s="6"/>
      <c r="C262" s="6"/>
      <c r="D262" s="6"/>
      <c r="E262" s="6"/>
      <c r="F262" s="6"/>
      <c r="G262" s="6"/>
      <c r="H262" s="6"/>
      <c r="I262" s="31"/>
      <c r="J262" s="31"/>
      <c r="K262" s="61" t="str">
        <f>IF(C262="","",_xlfn.XLOOKUP(C262,실!$D:$D,실!$B:$B,""))</f>
        <v/>
      </c>
      <c r="L262" s="48">
        <f>COUNTIFS(개구부!C:C, B262, 개구부!D:D, "window")</f>
        <v>0</v>
      </c>
      <c r="M262" s="48">
        <f>COUNTIFS(개구부!C:C, B262, 개구부!D:D, "&lt;&gt;window")</f>
        <v>0</v>
      </c>
    </row>
    <row r="263" spans="2:13" ht="18" customHeight="1">
      <c r="B263" s="6"/>
      <c r="C263" s="6"/>
      <c r="D263" s="6"/>
      <c r="E263" s="6"/>
      <c r="F263" s="6"/>
      <c r="G263" s="6"/>
      <c r="H263" s="6"/>
      <c r="I263" s="31"/>
      <c r="J263" s="31"/>
      <c r="K263" s="61" t="str">
        <f>IF(C263="","",_xlfn.XLOOKUP(C263,실!$D:$D,실!$B:$B,""))</f>
        <v/>
      </c>
      <c r="L263" s="48">
        <f>COUNTIFS(개구부!C:C, B263, 개구부!D:D, "window")</f>
        <v>0</v>
      </c>
      <c r="M263" s="48">
        <f>COUNTIFS(개구부!C:C, B263, 개구부!D:D, "&lt;&gt;window")</f>
        <v>0</v>
      </c>
    </row>
    <row r="264" spans="2:13" ht="18" customHeight="1">
      <c r="B264" s="6"/>
      <c r="C264" s="6"/>
      <c r="D264" s="6"/>
      <c r="E264" s="6"/>
      <c r="F264" s="6"/>
      <c r="G264" s="6"/>
      <c r="H264" s="6"/>
      <c r="I264" s="31"/>
      <c r="J264" s="31"/>
      <c r="K264" s="61" t="str">
        <f>IF(C264="","",_xlfn.XLOOKUP(C264,실!$D:$D,실!$B:$B,""))</f>
        <v/>
      </c>
      <c r="L264" s="48">
        <f>COUNTIFS(개구부!C:C, B264, 개구부!D:D, "window")</f>
        <v>0</v>
      </c>
      <c r="M264" s="48">
        <f>COUNTIFS(개구부!C:C, B264, 개구부!D:D, "&lt;&gt;window")</f>
        <v>0</v>
      </c>
    </row>
    <row r="265" spans="2:13" ht="18" customHeight="1">
      <c r="B265" s="6"/>
      <c r="C265" s="6"/>
      <c r="D265" s="6"/>
      <c r="E265" s="6"/>
      <c r="F265" s="6"/>
      <c r="G265" s="6"/>
      <c r="H265" s="6"/>
      <c r="I265" s="31"/>
      <c r="J265" s="31"/>
      <c r="K265" s="61" t="str">
        <f>IF(C265="","",_xlfn.XLOOKUP(C265,실!$D:$D,실!$B:$B,""))</f>
        <v/>
      </c>
      <c r="L265" s="48">
        <f>COUNTIFS(개구부!C:C, B265, 개구부!D:D, "window")</f>
        <v>0</v>
      </c>
      <c r="M265" s="48">
        <f>COUNTIFS(개구부!C:C, B265, 개구부!D:D, "&lt;&gt;window")</f>
        <v>0</v>
      </c>
    </row>
    <row r="266" spans="2:13" ht="18" customHeight="1">
      <c r="B266" s="6"/>
      <c r="C266" s="6"/>
      <c r="D266" s="6"/>
      <c r="E266" s="6"/>
      <c r="F266" s="6"/>
      <c r="G266" s="6"/>
      <c r="H266" s="6"/>
      <c r="I266" s="31"/>
      <c r="J266" s="31"/>
      <c r="K266" s="61" t="str">
        <f>IF(C266="","",_xlfn.XLOOKUP(C266,실!$D:$D,실!$B:$B,""))</f>
        <v/>
      </c>
      <c r="L266" s="48">
        <f>COUNTIFS(개구부!C:C, B266, 개구부!D:D, "window")</f>
        <v>0</v>
      </c>
      <c r="M266" s="48">
        <f>COUNTIFS(개구부!C:C, B266, 개구부!D:D, "&lt;&gt;window")</f>
        <v>0</v>
      </c>
    </row>
    <row r="267" spans="2:13" ht="18" customHeight="1">
      <c r="B267" s="6"/>
      <c r="C267" s="6"/>
      <c r="D267" s="6"/>
      <c r="E267" s="6"/>
      <c r="F267" s="6"/>
      <c r="G267" s="6"/>
      <c r="H267" s="6"/>
      <c r="I267" s="31"/>
      <c r="J267" s="31"/>
      <c r="K267" s="61" t="str">
        <f>IF(C267="","",_xlfn.XLOOKUP(C267,실!$D:$D,실!$B:$B,""))</f>
        <v/>
      </c>
      <c r="L267" s="48">
        <f>COUNTIFS(개구부!C:C, B267, 개구부!D:D, "window")</f>
        <v>0</v>
      </c>
      <c r="M267" s="48">
        <f>COUNTIFS(개구부!C:C, B267, 개구부!D:D, "&lt;&gt;window")</f>
        <v>0</v>
      </c>
    </row>
    <row r="268" spans="2:13" ht="18" customHeight="1">
      <c r="B268" s="6"/>
      <c r="C268" s="6"/>
      <c r="D268" s="6"/>
      <c r="E268" s="6"/>
      <c r="F268" s="6"/>
      <c r="G268" s="6"/>
      <c r="H268" s="6"/>
      <c r="I268" s="31"/>
      <c r="J268" s="31"/>
      <c r="K268" s="61" t="str">
        <f>IF(C268="","",_xlfn.XLOOKUP(C268,실!$D:$D,실!$B:$B,""))</f>
        <v/>
      </c>
      <c r="L268" s="48">
        <f>COUNTIFS(개구부!C:C, B268, 개구부!D:D, "window")</f>
        <v>0</v>
      </c>
      <c r="M268" s="48">
        <f>COUNTIFS(개구부!C:C, B268, 개구부!D:D, "&lt;&gt;window")</f>
        <v>0</v>
      </c>
    </row>
    <row r="269" spans="2:13" ht="18" customHeight="1">
      <c r="B269" s="6"/>
      <c r="C269" s="6"/>
      <c r="D269" s="6"/>
      <c r="E269" s="6"/>
      <c r="F269" s="6"/>
      <c r="G269" s="6"/>
      <c r="H269" s="6"/>
      <c r="I269" s="31"/>
      <c r="J269" s="31"/>
      <c r="K269" s="61" t="str">
        <f>IF(C269="","",_xlfn.XLOOKUP(C269,실!$D:$D,실!$B:$B,""))</f>
        <v/>
      </c>
      <c r="L269" s="48">
        <f>COUNTIFS(개구부!C:C, B269, 개구부!D:D, "window")</f>
        <v>0</v>
      </c>
      <c r="M269" s="48">
        <f>COUNTIFS(개구부!C:C, B269, 개구부!D:D, "&lt;&gt;window")</f>
        <v>0</v>
      </c>
    </row>
    <row r="270" spans="2:13" ht="18" customHeight="1">
      <c r="B270" s="6"/>
      <c r="C270" s="6"/>
      <c r="D270" s="6"/>
      <c r="E270" s="6"/>
      <c r="F270" s="6"/>
      <c r="G270" s="6"/>
      <c r="H270" s="6"/>
      <c r="I270" s="31"/>
      <c r="J270" s="31"/>
      <c r="K270" s="61" t="str">
        <f>IF(C270="","",_xlfn.XLOOKUP(C270,실!$D:$D,실!$B:$B,""))</f>
        <v/>
      </c>
      <c r="L270" s="48">
        <f>COUNTIFS(개구부!C:C, B270, 개구부!D:D, "window")</f>
        <v>0</v>
      </c>
      <c r="M270" s="48">
        <f>COUNTIFS(개구부!C:C, B270, 개구부!D:D, "&lt;&gt;window")</f>
        <v>0</v>
      </c>
    </row>
    <row r="271" spans="2:13" ht="18" customHeight="1">
      <c r="B271" s="6"/>
      <c r="C271" s="6"/>
      <c r="D271" s="6"/>
      <c r="E271" s="6"/>
      <c r="F271" s="6"/>
      <c r="G271" s="6"/>
      <c r="H271" s="6"/>
      <c r="I271" s="31"/>
      <c r="J271" s="31"/>
      <c r="K271" s="61" t="str">
        <f>IF(C271="","",_xlfn.XLOOKUP(C271,실!$D:$D,실!$B:$B,""))</f>
        <v/>
      </c>
      <c r="L271" s="48">
        <f>COUNTIFS(개구부!C:C, B271, 개구부!D:D, "window")</f>
        <v>0</v>
      </c>
      <c r="M271" s="48">
        <f>COUNTIFS(개구부!C:C, B271, 개구부!D:D, "&lt;&gt;window")</f>
        <v>0</v>
      </c>
    </row>
    <row r="272" spans="2:13" ht="18" customHeight="1">
      <c r="B272" s="6"/>
      <c r="C272" s="6"/>
      <c r="D272" s="6"/>
      <c r="E272" s="6"/>
      <c r="F272" s="6"/>
      <c r="G272" s="6"/>
      <c r="H272" s="6"/>
      <c r="I272" s="31"/>
      <c r="J272" s="31"/>
      <c r="K272" s="61" t="str">
        <f>IF(C272="","",_xlfn.XLOOKUP(C272,실!$D:$D,실!$B:$B,""))</f>
        <v/>
      </c>
      <c r="L272" s="48">
        <f>COUNTIFS(개구부!C:C, B272, 개구부!D:D, "window")</f>
        <v>0</v>
      </c>
      <c r="M272" s="48">
        <f>COUNTIFS(개구부!C:C, B272, 개구부!D:D, "&lt;&gt;window")</f>
        <v>0</v>
      </c>
    </row>
    <row r="273" spans="2:13" ht="18" customHeight="1">
      <c r="B273" s="6"/>
      <c r="C273" s="6"/>
      <c r="D273" s="6"/>
      <c r="E273" s="6"/>
      <c r="F273" s="6"/>
      <c r="G273" s="6"/>
      <c r="H273" s="6"/>
      <c r="I273" s="31"/>
      <c r="J273" s="31"/>
      <c r="K273" s="61" t="str">
        <f>IF(C273="","",_xlfn.XLOOKUP(C273,실!$D:$D,실!$B:$B,""))</f>
        <v/>
      </c>
      <c r="L273" s="48">
        <f>COUNTIFS(개구부!C:C, B273, 개구부!D:D, "window")</f>
        <v>0</v>
      </c>
      <c r="M273" s="48">
        <f>COUNTIFS(개구부!C:C, B273, 개구부!D:D, "&lt;&gt;window")</f>
        <v>0</v>
      </c>
    </row>
    <row r="274" spans="2:13" ht="18" customHeight="1">
      <c r="B274" s="6"/>
      <c r="C274" s="6"/>
      <c r="D274" s="6"/>
      <c r="E274" s="6"/>
      <c r="F274" s="6"/>
      <c r="G274" s="6"/>
      <c r="H274" s="6"/>
      <c r="I274" s="31"/>
      <c r="J274" s="31"/>
      <c r="K274" s="61" t="str">
        <f>IF(C274="","",_xlfn.XLOOKUP(C274,실!$D:$D,실!$B:$B,""))</f>
        <v/>
      </c>
      <c r="L274" s="48">
        <f>COUNTIFS(개구부!C:C, B274, 개구부!D:D, "window")</f>
        <v>0</v>
      </c>
      <c r="M274" s="48">
        <f>COUNTIFS(개구부!C:C, B274, 개구부!D:D, "&lt;&gt;window")</f>
        <v>0</v>
      </c>
    </row>
    <row r="275" spans="2:13" ht="18" customHeight="1">
      <c r="B275" s="6"/>
      <c r="C275" s="6"/>
      <c r="D275" s="6"/>
      <c r="E275" s="6"/>
      <c r="F275" s="6"/>
      <c r="G275" s="6"/>
      <c r="H275" s="6"/>
      <c r="I275" s="31"/>
      <c r="J275" s="31"/>
      <c r="K275" s="61" t="str">
        <f>IF(C275="","",_xlfn.XLOOKUP(C275,실!$D:$D,실!$B:$B,""))</f>
        <v/>
      </c>
      <c r="L275" s="48">
        <f>COUNTIFS(개구부!C:C, B275, 개구부!D:D, "window")</f>
        <v>0</v>
      </c>
      <c r="M275" s="48">
        <f>COUNTIFS(개구부!C:C, B275, 개구부!D:D, "&lt;&gt;window")</f>
        <v>0</v>
      </c>
    </row>
    <row r="276" spans="2:13" ht="18" customHeight="1">
      <c r="B276" s="6"/>
      <c r="C276" s="6"/>
      <c r="D276" s="6"/>
      <c r="E276" s="6"/>
      <c r="F276" s="6"/>
      <c r="G276" s="6"/>
      <c r="H276" s="6"/>
      <c r="I276" s="31"/>
      <c r="J276" s="31"/>
      <c r="K276" s="61" t="str">
        <f>IF(C276="","",_xlfn.XLOOKUP(C276,실!$D:$D,실!$B:$B,""))</f>
        <v/>
      </c>
      <c r="L276" s="48">
        <f>COUNTIFS(개구부!C:C, B276, 개구부!D:D, "window")</f>
        <v>0</v>
      </c>
      <c r="M276" s="48">
        <f>COUNTIFS(개구부!C:C, B276, 개구부!D:D, "&lt;&gt;window")</f>
        <v>0</v>
      </c>
    </row>
    <row r="277" spans="2:13" ht="18" customHeight="1">
      <c r="B277" s="6"/>
      <c r="C277" s="6"/>
      <c r="D277" s="6"/>
      <c r="E277" s="6"/>
      <c r="F277" s="6"/>
      <c r="G277" s="6"/>
      <c r="H277" s="6"/>
      <c r="I277" s="31"/>
      <c r="J277" s="31"/>
      <c r="K277" s="61" t="str">
        <f>IF(C277="","",_xlfn.XLOOKUP(C277,실!$D:$D,실!$B:$B,""))</f>
        <v/>
      </c>
      <c r="L277" s="48">
        <f>COUNTIFS(개구부!C:C, B277, 개구부!D:D, "window")</f>
        <v>0</v>
      </c>
      <c r="M277" s="48">
        <f>COUNTIFS(개구부!C:C, B277, 개구부!D:D, "&lt;&gt;window")</f>
        <v>0</v>
      </c>
    </row>
    <row r="278" spans="2:13" ht="18" customHeight="1">
      <c r="B278" s="6"/>
      <c r="C278" s="6"/>
      <c r="D278" s="6"/>
      <c r="E278" s="6"/>
      <c r="F278" s="6"/>
      <c r="G278" s="6"/>
      <c r="H278" s="6"/>
      <c r="I278" s="31"/>
      <c r="J278" s="31"/>
      <c r="K278" s="61" t="str">
        <f>IF(C278="","",_xlfn.XLOOKUP(C278,실!$D:$D,실!$B:$B,""))</f>
        <v/>
      </c>
      <c r="L278" s="48">
        <f>COUNTIFS(개구부!C:C, B278, 개구부!D:D, "window")</f>
        <v>0</v>
      </c>
      <c r="M278" s="48">
        <f>COUNTIFS(개구부!C:C, B278, 개구부!D:D, "&lt;&gt;window")</f>
        <v>0</v>
      </c>
    </row>
    <row r="279" spans="2:13" ht="18" customHeight="1">
      <c r="B279" s="6"/>
      <c r="C279" s="6"/>
      <c r="D279" s="6"/>
      <c r="E279" s="6"/>
      <c r="F279" s="6"/>
      <c r="G279" s="6"/>
      <c r="H279" s="6"/>
      <c r="I279" s="31"/>
      <c r="J279" s="31"/>
      <c r="K279" s="61" t="str">
        <f>IF(C279="","",_xlfn.XLOOKUP(C279,실!$D:$D,실!$B:$B,""))</f>
        <v/>
      </c>
      <c r="L279" s="48">
        <f>COUNTIFS(개구부!C:C, B279, 개구부!D:D, "window")</f>
        <v>0</v>
      </c>
      <c r="M279" s="48">
        <f>COUNTIFS(개구부!C:C, B279, 개구부!D:D, "&lt;&gt;window")</f>
        <v>0</v>
      </c>
    </row>
    <row r="280" spans="2:13" ht="18" customHeight="1">
      <c r="B280" s="6"/>
      <c r="C280" s="6"/>
      <c r="D280" s="6"/>
      <c r="E280" s="6"/>
      <c r="F280" s="6"/>
      <c r="G280" s="6"/>
      <c r="H280" s="6"/>
      <c r="I280" s="31"/>
      <c r="J280" s="31"/>
      <c r="K280" s="61" t="str">
        <f>IF(C280="","",_xlfn.XLOOKUP(C280,실!$D:$D,실!$B:$B,""))</f>
        <v/>
      </c>
      <c r="L280" s="48">
        <f>COUNTIFS(개구부!C:C, B280, 개구부!D:D, "window")</f>
        <v>0</v>
      </c>
      <c r="M280" s="48">
        <f>COUNTIFS(개구부!C:C, B280, 개구부!D:D, "&lt;&gt;window")</f>
        <v>0</v>
      </c>
    </row>
    <row r="281" spans="2:13" ht="18" customHeight="1">
      <c r="B281" s="6"/>
      <c r="C281" s="6"/>
      <c r="D281" s="6"/>
      <c r="E281" s="6"/>
      <c r="F281" s="6"/>
      <c r="G281" s="6"/>
      <c r="H281" s="6"/>
      <c r="I281" s="31"/>
      <c r="J281" s="31"/>
      <c r="K281" s="61" t="str">
        <f>IF(C281="","",_xlfn.XLOOKUP(C281,실!$D:$D,실!$B:$B,""))</f>
        <v/>
      </c>
      <c r="L281" s="48">
        <f>COUNTIFS(개구부!C:C, B281, 개구부!D:D, "window")</f>
        <v>0</v>
      </c>
      <c r="M281" s="48">
        <f>COUNTIFS(개구부!C:C, B281, 개구부!D:D, "&lt;&gt;window")</f>
        <v>0</v>
      </c>
    </row>
    <row r="282" spans="2:13" ht="18" customHeight="1">
      <c r="B282" s="6"/>
      <c r="C282" s="6"/>
      <c r="D282" s="6"/>
      <c r="E282" s="6"/>
      <c r="F282" s="6"/>
      <c r="G282" s="6"/>
      <c r="H282" s="6"/>
      <c r="I282" s="31"/>
      <c r="J282" s="31"/>
      <c r="K282" s="61" t="str">
        <f>IF(C282="","",_xlfn.XLOOKUP(C282,실!$D:$D,실!$B:$B,""))</f>
        <v/>
      </c>
      <c r="L282" s="48">
        <f>COUNTIFS(개구부!C:C, B282, 개구부!D:D, "window")</f>
        <v>0</v>
      </c>
      <c r="M282" s="48">
        <f>COUNTIFS(개구부!C:C, B282, 개구부!D:D, "&lt;&gt;window")</f>
        <v>0</v>
      </c>
    </row>
    <row r="283" spans="2:13" ht="18" customHeight="1">
      <c r="B283" s="6"/>
      <c r="C283" s="6"/>
      <c r="D283" s="6"/>
      <c r="E283" s="6"/>
      <c r="F283" s="6"/>
      <c r="G283" s="6"/>
      <c r="H283" s="6"/>
      <c r="I283" s="31"/>
      <c r="J283" s="31"/>
      <c r="K283" s="61" t="str">
        <f>IF(C283="","",_xlfn.XLOOKUP(C283,실!$D:$D,실!$B:$B,""))</f>
        <v/>
      </c>
      <c r="L283" s="48">
        <f>COUNTIFS(개구부!C:C, B283, 개구부!D:D, "window")</f>
        <v>0</v>
      </c>
      <c r="M283" s="48">
        <f>COUNTIFS(개구부!C:C, B283, 개구부!D:D, "&lt;&gt;window")</f>
        <v>0</v>
      </c>
    </row>
    <row r="284" spans="2:13" ht="18" customHeight="1">
      <c r="B284" s="6"/>
      <c r="C284" s="6"/>
      <c r="D284" s="6"/>
      <c r="E284" s="6"/>
      <c r="F284" s="6"/>
      <c r="G284" s="6"/>
      <c r="H284" s="6"/>
      <c r="I284" s="31"/>
      <c r="J284" s="31"/>
      <c r="K284" s="61" t="str">
        <f>IF(C284="","",_xlfn.XLOOKUP(C284,실!$D:$D,실!$B:$B,""))</f>
        <v/>
      </c>
      <c r="L284" s="48">
        <f>COUNTIFS(개구부!C:C, B284, 개구부!D:D, "window")</f>
        <v>0</v>
      </c>
      <c r="M284" s="48">
        <f>COUNTIFS(개구부!C:C, B284, 개구부!D:D, "&lt;&gt;window")</f>
        <v>0</v>
      </c>
    </row>
    <row r="285" spans="2:13" ht="18" customHeight="1">
      <c r="B285" s="6"/>
      <c r="C285" s="6"/>
      <c r="D285" s="6"/>
      <c r="E285" s="6"/>
      <c r="F285" s="6"/>
      <c r="G285" s="6"/>
      <c r="H285" s="6"/>
      <c r="I285" s="31"/>
      <c r="J285" s="31"/>
      <c r="K285" s="61" t="str">
        <f>IF(C285="","",_xlfn.XLOOKUP(C285,실!$D:$D,실!$B:$B,""))</f>
        <v/>
      </c>
      <c r="L285" s="48">
        <f>COUNTIFS(개구부!C:C, B285, 개구부!D:D, "window")</f>
        <v>0</v>
      </c>
      <c r="M285" s="48">
        <f>COUNTIFS(개구부!C:C, B285, 개구부!D:D, "&lt;&gt;window")</f>
        <v>0</v>
      </c>
    </row>
    <row r="286" spans="2:13" ht="18" customHeight="1">
      <c r="B286" s="6"/>
      <c r="C286" s="6"/>
      <c r="D286" s="6"/>
      <c r="E286" s="6"/>
      <c r="F286" s="6"/>
      <c r="G286" s="6"/>
      <c r="H286" s="6"/>
      <c r="I286" s="31"/>
      <c r="J286" s="31"/>
      <c r="K286" s="61" t="str">
        <f>IF(C286="","",_xlfn.XLOOKUP(C286,실!$D:$D,실!$B:$B,""))</f>
        <v/>
      </c>
      <c r="L286" s="48">
        <f>COUNTIFS(개구부!C:C, B286, 개구부!D:D, "window")</f>
        <v>0</v>
      </c>
      <c r="M286" s="48">
        <f>COUNTIFS(개구부!C:C, B286, 개구부!D:D, "&lt;&gt;window")</f>
        <v>0</v>
      </c>
    </row>
    <row r="287" spans="2:13" ht="18" customHeight="1">
      <c r="B287" s="6"/>
      <c r="C287" s="6"/>
      <c r="D287" s="6"/>
      <c r="E287" s="6"/>
      <c r="F287" s="6"/>
      <c r="G287" s="6"/>
      <c r="H287" s="6"/>
      <c r="I287" s="31"/>
      <c r="J287" s="31"/>
      <c r="K287" s="61" t="str">
        <f>IF(C287="","",_xlfn.XLOOKUP(C287,실!$D:$D,실!$B:$B,""))</f>
        <v/>
      </c>
      <c r="L287" s="48">
        <f>COUNTIFS(개구부!C:C, B287, 개구부!D:D, "window")</f>
        <v>0</v>
      </c>
      <c r="M287" s="48">
        <f>COUNTIFS(개구부!C:C, B287, 개구부!D:D, "&lt;&gt;window")</f>
        <v>0</v>
      </c>
    </row>
    <row r="288" spans="2:13" ht="18" customHeight="1">
      <c r="B288" s="6"/>
      <c r="C288" s="6"/>
      <c r="D288" s="6"/>
      <c r="E288" s="6"/>
      <c r="F288" s="6"/>
      <c r="G288" s="6"/>
      <c r="H288" s="6"/>
      <c r="I288" s="31"/>
      <c r="J288" s="31"/>
      <c r="K288" s="61" t="str">
        <f>IF(C288="","",_xlfn.XLOOKUP(C288,실!$D:$D,실!$B:$B,""))</f>
        <v/>
      </c>
      <c r="L288" s="48">
        <f>COUNTIFS(개구부!C:C, B288, 개구부!D:D, "window")</f>
        <v>0</v>
      </c>
      <c r="M288" s="48">
        <f>COUNTIFS(개구부!C:C, B288, 개구부!D:D, "&lt;&gt;window")</f>
        <v>0</v>
      </c>
    </row>
    <row r="289" spans="2:13" ht="18" customHeight="1">
      <c r="B289" s="6"/>
      <c r="C289" s="6"/>
      <c r="D289" s="6"/>
      <c r="E289" s="6"/>
      <c r="F289" s="6"/>
      <c r="G289" s="6"/>
      <c r="H289" s="6"/>
      <c r="I289" s="31"/>
      <c r="J289" s="31"/>
      <c r="K289" s="61" t="str">
        <f>IF(C289="","",_xlfn.XLOOKUP(C289,실!$D:$D,실!$B:$B,""))</f>
        <v/>
      </c>
      <c r="L289" s="48">
        <f>COUNTIFS(개구부!C:C, B289, 개구부!D:D, "window")</f>
        <v>0</v>
      </c>
      <c r="M289" s="48">
        <f>COUNTIFS(개구부!C:C, B289, 개구부!D:D, "&lt;&gt;window")</f>
        <v>0</v>
      </c>
    </row>
    <row r="290" spans="2:13" ht="18" customHeight="1">
      <c r="B290" s="6"/>
      <c r="C290" s="6"/>
      <c r="D290" s="6"/>
      <c r="E290" s="6"/>
      <c r="F290" s="6"/>
      <c r="G290" s="6"/>
      <c r="H290" s="6"/>
      <c r="I290" s="31"/>
      <c r="J290" s="31"/>
      <c r="K290" s="61" t="str">
        <f>IF(C290="","",_xlfn.XLOOKUP(C290,실!$D:$D,실!$B:$B,""))</f>
        <v/>
      </c>
      <c r="L290" s="48">
        <f>COUNTIFS(개구부!C:C, B290, 개구부!D:D, "window")</f>
        <v>0</v>
      </c>
      <c r="M290" s="48">
        <f>COUNTIFS(개구부!C:C, B290, 개구부!D:D, "&lt;&gt;window")</f>
        <v>0</v>
      </c>
    </row>
    <row r="291" spans="2:13" ht="18" customHeight="1">
      <c r="B291" s="6"/>
      <c r="C291" s="6"/>
      <c r="D291" s="6"/>
      <c r="E291" s="6"/>
      <c r="F291" s="6"/>
      <c r="G291" s="6"/>
      <c r="H291" s="6"/>
      <c r="I291" s="31"/>
      <c r="J291" s="31"/>
      <c r="K291" s="61" t="str">
        <f>IF(C291="","",_xlfn.XLOOKUP(C291,실!$D:$D,실!$B:$B,""))</f>
        <v/>
      </c>
      <c r="L291" s="48">
        <f>COUNTIFS(개구부!C:C, B291, 개구부!D:D, "window")</f>
        <v>0</v>
      </c>
      <c r="M291" s="48">
        <f>COUNTIFS(개구부!C:C, B291, 개구부!D:D, "&lt;&gt;window")</f>
        <v>0</v>
      </c>
    </row>
    <row r="292" spans="2:13" ht="18" customHeight="1">
      <c r="B292" s="6"/>
      <c r="C292" s="6"/>
      <c r="D292" s="6"/>
      <c r="E292" s="6"/>
      <c r="F292" s="6"/>
      <c r="G292" s="6"/>
      <c r="H292" s="6"/>
      <c r="I292" s="31"/>
      <c r="J292" s="31"/>
      <c r="K292" s="61" t="str">
        <f>IF(C292="","",_xlfn.XLOOKUP(C292,실!$D:$D,실!$B:$B,""))</f>
        <v/>
      </c>
      <c r="L292" s="48">
        <f>COUNTIFS(개구부!C:C, B292, 개구부!D:D, "window")</f>
        <v>0</v>
      </c>
      <c r="M292" s="48">
        <f>COUNTIFS(개구부!C:C, B292, 개구부!D:D, "&lt;&gt;window")</f>
        <v>0</v>
      </c>
    </row>
    <row r="293" spans="2:13" ht="18" customHeight="1">
      <c r="B293" s="6"/>
      <c r="C293" s="6"/>
      <c r="D293" s="6"/>
      <c r="E293" s="6"/>
      <c r="F293" s="6"/>
      <c r="G293" s="6"/>
      <c r="H293" s="6"/>
      <c r="I293" s="31"/>
      <c r="J293" s="31"/>
      <c r="K293" s="61" t="str">
        <f>IF(C293="","",_xlfn.XLOOKUP(C293,실!$D:$D,실!$B:$B,""))</f>
        <v/>
      </c>
      <c r="L293" s="48">
        <f>COUNTIFS(개구부!C:C, B293, 개구부!D:D, "window")</f>
        <v>0</v>
      </c>
      <c r="M293" s="48">
        <f>COUNTIFS(개구부!C:C, B293, 개구부!D:D, "&lt;&gt;window")</f>
        <v>0</v>
      </c>
    </row>
    <row r="294" spans="2:13" ht="18" customHeight="1">
      <c r="B294" s="6"/>
      <c r="C294" s="6"/>
      <c r="D294" s="6"/>
      <c r="E294" s="6"/>
      <c r="F294" s="6"/>
      <c r="G294" s="6"/>
      <c r="H294" s="6"/>
      <c r="I294" s="31"/>
      <c r="J294" s="31"/>
      <c r="K294" s="61" t="str">
        <f>IF(C294="","",_xlfn.XLOOKUP(C294,실!$D:$D,실!$B:$B,""))</f>
        <v/>
      </c>
      <c r="L294" s="48">
        <f>COUNTIFS(개구부!C:C, B294, 개구부!D:D, "window")</f>
        <v>0</v>
      </c>
      <c r="M294" s="48">
        <f>COUNTIFS(개구부!C:C, B294, 개구부!D:D, "&lt;&gt;window")</f>
        <v>0</v>
      </c>
    </row>
    <row r="295" spans="2:13" ht="18" customHeight="1">
      <c r="B295" s="6"/>
      <c r="C295" s="6"/>
      <c r="D295" s="6"/>
      <c r="E295" s="6"/>
      <c r="F295" s="6"/>
      <c r="G295" s="6"/>
      <c r="H295" s="6"/>
      <c r="I295" s="31"/>
      <c r="J295" s="31"/>
      <c r="K295" s="61" t="str">
        <f>IF(C295="","",_xlfn.XLOOKUP(C295,실!$D:$D,실!$B:$B,""))</f>
        <v/>
      </c>
      <c r="L295" s="48">
        <f>COUNTIFS(개구부!C:C, B295, 개구부!D:D, "window")</f>
        <v>0</v>
      </c>
      <c r="M295" s="48">
        <f>COUNTIFS(개구부!C:C, B295, 개구부!D:D, "&lt;&gt;window")</f>
        <v>0</v>
      </c>
    </row>
    <row r="296" spans="2:13" ht="18" customHeight="1">
      <c r="B296" s="6"/>
      <c r="C296" s="6"/>
      <c r="D296" s="6"/>
      <c r="E296" s="6"/>
      <c r="F296" s="6"/>
      <c r="G296" s="6"/>
      <c r="H296" s="6"/>
      <c r="I296" s="31"/>
      <c r="J296" s="31"/>
      <c r="K296" s="61" t="str">
        <f>IF(C296="","",_xlfn.XLOOKUP(C296,실!$D:$D,실!$B:$B,""))</f>
        <v/>
      </c>
      <c r="L296" s="48">
        <f>COUNTIFS(개구부!C:C, B296, 개구부!D:D, "window")</f>
        <v>0</v>
      </c>
      <c r="M296" s="48">
        <f>COUNTIFS(개구부!C:C, B296, 개구부!D:D, "&lt;&gt;window")</f>
        <v>0</v>
      </c>
    </row>
    <row r="297" spans="2:13" ht="18" customHeight="1">
      <c r="B297" s="6"/>
      <c r="C297" s="6"/>
      <c r="D297" s="6"/>
      <c r="E297" s="6"/>
      <c r="F297" s="6"/>
      <c r="G297" s="6"/>
      <c r="H297" s="6"/>
      <c r="I297" s="31"/>
      <c r="J297" s="31"/>
      <c r="K297" s="61" t="str">
        <f>IF(C297="","",_xlfn.XLOOKUP(C297,실!$D:$D,실!$B:$B,""))</f>
        <v/>
      </c>
      <c r="L297" s="48">
        <f>COUNTIFS(개구부!C:C, B297, 개구부!D:D, "window")</f>
        <v>0</v>
      </c>
      <c r="M297" s="48">
        <f>COUNTIFS(개구부!C:C, B297, 개구부!D:D, "&lt;&gt;window")</f>
        <v>0</v>
      </c>
    </row>
    <row r="298" spans="2:13" ht="18" customHeight="1">
      <c r="B298" s="6"/>
      <c r="C298" s="6"/>
      <c r="D298" s="6"/>
      <c r="E298" s="6"/>
      <c r="F298" s="6"/>
      <c r="G298" s="6"/>
      <c r="H298" s="6"/>
      <c r="I298" s="31"/>
      <c r="J298" s="31"/>
      <c r="K298" s="61" t="str">
        <f>IF(C298="","",_xlfn.XLOOKUP(C298,실!$D:$D,실!$B:$B,""))</f>
        <v/>
      </c>
      <c r="L298" s="48">
        <f>COUNTIFS(개구부!C:C, B298, 개구부!D:D, "window")</f>
        <v>0</v>
      </c>
      <c r="M298" s="48">
        <f>COUNTIFS(개구부!C:C, B298, 개구부!D:D, "&lt;&gt;window")</f>
        <v>0</v>
      </c>
    </row>
    <row r="299" spans="2:13" ht="18" customHeight="1">
      <c r="B299" s="6"/>
      <c r="C299" s="6"/>
      <c r="D299" s="6"/>
      <c r="E299" s="6"/>
      <c r="F299" s="6"/>
      <c r="G299" s="6"/>
      <c r="H299" s="6"/>
      <c r="I299" s="31"/>
      <c r="J299" s="31"/>
      <c r="K299" s="61" t="str">
        <f>IF(C299="","",_xlfn.XLOOKUP(C299,실!$D:$D,실!$B:$B,""))</f>
        <v/>
      </c>
      <c r="L299" s="48">
        <f>COUNTIFS(개구부!C:C, B299, 개구부!D:D, "window")</f>
        <v>0</v>
      </c>
      <c r="M299" s="48">
        <f>COUNTIFS(개구부!C:C, B299, 개구부!D:D, "&lt;&gt;window")</f>
        <v>0</v>
      </c>
    </row>
    <row r="300" spans="2:13" ht="18" customHeight="1">
      <c r="B300" s="6"/>
      <c r="C300" s="6"/>
      <c r="D300" s="6"/>
      <c r="E300" s="6"/>
      <c r="F300" s="6"/>
      <c r="G300" s="6"/>
      <c r="H300" s="6"/>
      <c r="I300" s="31"/>
      <c r="J300" s="31"/>
      <c r="K300" s="61" t="str">
        <f>IF(C300="","",_xlfn.XLOOKUP(C300,실!$D:$D,실!$B:$B,""))</f>
        <v/>
      </c>
      <c r="L300" s="48">
        <f>COUNTIFS(개구부!C:C, B300, 개구부!D:D, "window")</f>
        <v>0</v>
      </c>
      <c r="M300" s="48">
        <f>COUNTIFS(개구부!C:C, B300, 개구부!D:D, "&lt;&gt;window")</f>
        <v>0</v>
      </c>
    </row>
    <row r="301" spans="2:13" ht="18" customHeight="1">
      <c r="B301" s="6"/>
      <c r="C301" s="6"/>
      <c r="D301" s="6"/>
      <c r="E301" s="6"/>
      <c r="F301" s="6"/>
      <c r="G301" s="6"/>
      <c r="H301" s="6"/>
      <c r="I301" s="31"/>
      <c r="J301" s="31"/>
      <c r="K301" s="61" t="str">
        <f>IF(C301="","",_xlfn.XLOOKUP(C301,실!$D:$D,실!$B:$B,""))</f>
        <v/>
      </c>
      <c r="L301" s="48">
        <f>COUNTIFS(개구부!C:C, B301, 개구부!D:D, "window")</f>
        <v>0</v>
      </c>
      <c r="M301" s="48">
        <f>COUNTIFS(개구부!C:C, B301, 개구부!D:D, "&lt;&gt;window")</f>
        <v>0</v>
      </c>
    </row>
    <row r="302" spans="2:13" ht="18" customHeight="1">
      <c r="B302" s="6"/>
      <c r="C302" s="6"/>
      <c r="D302" s="6"/>
      <c r="E302" s="6"/>
      <c r="F302" s="6"/>
      <c r="G302" s="6"/>
      <c r="H302" s="6"/>
      <c r="I302" s="31"/>
      <c r="J302" s="31"/>
      <c r="K302" s="61" t="str">
        <f>IF(C302="","",_xlfn.XLOOKUP(C302,실!$D:$D,실!$B:$B,""))</f>
        <v/>
      </c>
      <c r="L302" s="48">
        <f>COUNTIFS(개구부!C:C, B302, 개구부!D:D, "window")</f>
        <v>0</v>
      </c>
      <c r="M302" s="48">
        <f>COUNTIFS(개구부!C:C, B302, 개구부!D:D, "&lt;&gt;window")</f>
        <v>0</v>
      </c>
    </row>
    <row r="303" spans="2:13" ht="18" customHeight="1">
      <c r="B303" s="6"/>
      <c r="C303" s="6"/>
      <c r="D303" s="6"/>
      <c r="E303" s="6"/>
      <c r="F303" s="6"/>
      <c r="G303" s="6"/>
      <c r="H303" s="6"/>
      <c r="I303" s="31"/>
      <c r="J303" s="31"/>
      <c r="K303" s="61" t="str">
        <f>IF(C303="","",_xlfn.XLOOKUP(C303,실!$D:$D,실!$B:$B,""))</f>
        <v/>
      </c>
      <c r="L303" s="48">
        <f>COUNTIFS(개구부!C:C, B303, 개구부!D:D, "window")</f>
        <v>0</v>
      </c>
      <c r="M303" s="48">
        <f>COUNTIFS(개구부!C:C, B303, 개구부!D:D, "&lt;&gt;window")</f>
        <v>0</v>
      </c>
    </row>
    <row r="304" spans="2:13" ht="18" customHeight="1">
      <c r="B304" s="6"/>
      <c r="C304" s="6"/>
      <c r="D304" s="6"/>
      <c r="E304" s="6"/>
      <c r="F304" s="6"/>
      <c r="G304" s="6"/>
      <c r="H304" s="6"/>
      <c r="I304" s="31"/>
      <c r="J304" s="31"/>
      <c r="K304" s="61" t="str">
        <f>IF(C304="","",_xlfn.XLOOKUP(C304,실!$D:$D,실!$B:$B,""))</f>
        <v/>
      </c>
      <c r="L304" s="48">
        <f>COUNTIFS(개구부!C:C, B304, 개구부!D:D, "window")</f>
        <v>0</v>
      </c>
      <c r="M304" s="48">
        <f>COUNTIFS(개구부!C:C, B304, 개구부!D:D, "&lt;&gt;window")</f>
        <v>0</v>
      </c>
    </row>
    <row r="305" spans="2:13" ht="18" customHeight="1">
      <c r="B305" s="6"/>
      <c r="C305" s="6"/>
      <c r="D305" s="6"/>
      <c r="E305" s="6"/>
      <c r="F305" s="6"/>
      <c r="G305" s="6"/>
      <c r="H305" s="6"/>
      <c r="I305" s="31"/>
      <c r="J305" s="31"/>
      <c r="K305" s="61" t="str">
        <f>IF(C305="","",_xlfn.XLOOKUP(C305,실!$D:$D,실!$B:$B,""))</f>
        <v/>
      </c>
      <c r="L305" s="48">
        <f>COUNTIFS(개구부!C:C, B305, 개구부!D:D, "window")</f>
        <v>0</v>
      </c>
      <c r="M305" s="48">
        <f>COUNTIFS(개구부!C:C, B305, 개구부!D:D, "&lt;&gt;window")</f>
        <v>0</v>
      </c>
    </row>
    <row r="306" spans="2:13" ht="18" customHeight="1">
      <c r="B306" s="6"/>
      <c r="C306" s="6"/>
      <c r="D306" s="6"/>
      <c r="E306" s="6"/>
      <c r="F306" s="6"/>
      <c r="G306" s="6"/>
      <c r="H306" s="6"/>
      <c r="I306" s="31"/>
      <c r="J306" s="31"/>
      <c r="K306" s="61" t="str">
        <f>IF(C306="","",_xlfn.XLOOKUP(C306,실!$D:$D,실!$B:$B,""))</f>
        <v/>
      </c>
      <c r="L306" s="48">
        <f>COUNTIFS(개구부!C:C, B306, 개구부!D:D, "window")</f>
        <v>0</v>
      </c>
      <c r="M306" s="48">
        <f>COUNTIFS(개구부!C:C, B306, 개구부!D:D, "&lt;&gt;window")</f>
        <v>0</v>
      </c>
    </row>
    <row r="307" spans="2:13" ht="18" customHeight="1">
      <c r="B307" s="6"/>
      <c r="C307" s="6"/>
      <c r="D307" s="6"/>
      <c r="E307" s="6"/>
      <c r="F307" s="6"/>
      <c r="G307" s="6"/>
      <c r="H307" s="6"/>
      <c r="I307" s="31"/>
      <c r="J307" s="31"/>
      <c r="K307" s="61" t="str">
        <f>IF(C307="","",_xlfn.XLOOKUP(C307,실!$D:$D,실!$B:$B,""))</f>
        <v/>
      </c>
      <c r="L307" s="48">
        <f>COUNTIFS(개구부!C:C, B307, 개구부!D:D, "window")</f>
        <v>0</v>
      </c>
      <c r="M307" s="48">
        <f>COUNTIFS(개구부!C:C, B307, 개구부!D:D, "&lt;&gt;window")</f>
        <v>0</v>
      </c>
    </row>
    <row r="308" spans="2:13" ht="18" customHeight="1">
      <c r="B308" s="6"/>
      <c r="C308" s="6"/>
      <c r="D308" s="6"/>
      <c r="E308" s="6"/>
      <c r="F308" s="6"/>
      <c r="G308" s="6"/>
      <c r="H308" s="6"/>
      <c r="I308" s="31"/>
      <c r="J308" s="31"/>
      <c r="K308" s="61" t="str">
        <f>IF(C308="","",_xlfn.XLOOKUP(C308,실!$D:$D,실!$B:$B,""))</f>
        <v/>
      </c>
      <c r="L308" s="48">
        <f>COUNTIFS(개구부!C:C, B308, 개구부!D:D, "window")</f>
        <v>0</v>
      </c>
      <c r="M308" s="48">
        <f>COUNTIFS(개구부!C:C, B308, 개구부!D:D, "&lt;&gt;window")</f>
        <v>0</v>
      </c>
    </row>
    <row r="309" spans="2:13" ht="18" customHeight="1">
      <c r="B309" s="6"/>
      <c r="C309" s="6"/>
      <c r="D309" s="6"/>
      <c r="E309" s="6"/>
      <c r="F309" s="6"/>
      <c r="G309" s="6"/>
      <c r="H309" s="6"/>
      <c r="I309" s="31"/>
      <c r="J309" s="31"/>
      <c r="K309" s="61" t="str">
        <f>IF(C309="","",_xlfn.XLOOKUP(C309,실!$D:$D,실!$B:$B,""))</f>
        <v/>
      </c>
      <c r="L309" s="48">
        <f>COUNTIFS(개구부!C:C, B309, 개구부!D:D, "window")</f>
        <v>0</v>
      </c>
      <c r="M309" s="48">
        <f>COUNTIFS(개구부!C:C, B309, 개구부!D:D, "&lt;&gt;window")</f>
        <v>0</v>
      </c>
    </row>
    <row r="310" spans="2:13" ht="18" customHeight="1">
      <c r="B310" s="6"/>
      <c r="C310" s="6"/>
      <c r="D310" s="6"/>
      <c r="E310" s="6"/>
      <c r="F310" s="6"/>
      <c r="G310" s="6"/>
      <c r="H310" s="6"/>
      <c r="I310" s="31"/>
      <c r="J310" s="31"/>
      <c r="K310" s="61" t="str">
        <f>IF(C310="","",_xlfn.XLOOKUP(C310,실!$D:$D,실!$B:$B,""))</f>
        <v/>
      </c>
      <c r="L310" s="48">
        <f>COUNTIFS(개구부!C:C, B310, 개구부!D:D, "window")</f>
        <v>0</v>
      </c>
      <c r="M310" s="48">
        <f>COUNTIFS(개구부!C:C, B310, 개구부!D:D, "&lt;&gt;window")</f>
        <v>0</v>
      </c>
    </row>
    <row r="311" spans="2:13" ht="18" customHeight="1">
      <c r="B311" s="6"/>
      <c r="C311" s="6"/>
      <c r="D311" s="6"/>
      <c r="E311" s="6"/>
      <c r="F311" s="6"/>
      <c r="G311" s="6"/>
      <c r="H311" s="6"/>
      <c r="I311" s="31"/>
      <c r="J311" s="31"/>
      <c r="K311" s="61" t="str">
        <f>IF(C311="","",_xlfn.XLOOKUP(C311,실!$D:$D,실!$B:$B,""))</f>
        <v/>
      </c>
      <c r="L311" s="48">
        <f>COUNTIFS(개구부!C:C, B311, 개구부!D:D, "window")</f>
        <v>0</v>
      </c>
      <c r="M311" s="48">
        <f>COUNTIFS(개구부!C:C, B311, 개구부!D:D, "&lt;&gt;window")</f>
        <v>0</v>
      </c>
    </row>
    <row r="312" spans="2:13" ht="18" customHeight="1">
      <c r="B312" s="6"/>
      <c r="C312" s="6"/>
      <c r="D312" s="6"/>
      <c r="E312" s="6"/>
      <c r="F312" s="6"/>
      <c r="G312" s="6"/>
      <c r="H312" s="6"/>
      <c r="I312" s="31"/>
      <c r="J312" s="31"/>
      <c r="K312" s="61" t="str">
        <f>IF(C312="","",_xlfn.XLOOKUP(C312,실!$D:$D,실!$B:$B,""))</f>
        <v/>
      </c>
      <c r="L312" s="48">
        <f>COUNTIFS(개구부!C:C, B312, 개구부!D:D, "window")</f>
        <v>0</v>
      </c>
      <c r="M312" s="48">
        <f>COUNTIFS(개구부!C:C, B312, 개구부!D:D, "&lt;&gt;window")</f>
        <v>0</v>
      </c>
    </row>
    <row r="313" spans="2:13" ht="18" customHeight="1">
      <c r="B313" s="6"/>
      <c r="C313" s="6"/>
      <c r="D313" s="6"/>
      <c r="E313" s="6"/>
      <c r="F313" s="6"/>
      <c r="G313" s="6"/>
      <c r="H313" s="6"/>
      <c r="I313" s="31"/>
      <c r="J313" s="31"/>
      <c r="K313" s="61" t="str">
        <f>IF(C313="","",_xlfn.XLOOKUP(C313,실!$D:$D,실!$B:$B,""))</f>
        <v/>
      </c>
      <c r="L313" s="48">
        <f>COUNTIFS(개구부!C:C, B313, 개구부!D:D, "window")</f>
        <v>0</v>
      </c>
      <c r="M313" s="48">
        <f>COUNTIFS(개구부!C:C, B313, 개구부!D:D, "&lt;&gt;window")</f>
        <v>0</v>
      </c>
    </row>
    <row r="314" spans="2:13" ht="18" customHeight="1">
      <c r="B314" s="6"/>
      <c r="C314" s="6"/>
      <c r="D314" s="6"/>
      <c r="E314" s="6"/>
      <c r="F314" s="6"/>
      <c r="G314" s="6"/>
      <c r="H314" s="6"/>
      <c r="I314" s="31"/>
      <c r="J314" s="31"/>
      <c r="K314" s="61" t="str">
        <f>IF(C314="","",_xlfn.XLOOKUP(C314,실!$D:$D,실!$B:$B,""))</f>
        <v/>
      </c>
      <c r="L314" s="48">
        <f>COUNTIFS(개구부!C:C, B314, 개구부!D:D, "window")</f>
        <v>0</v>
      </c>
      <c r="M314" s="48">
        <f>COUNTIFS(개구부!C:C, B314, 개구부!D:D, "&lt;&gt;window")</f>
        <v>0</v>
      </c>
    </row>
    <row r="315" spans="2:13" ht="18" customHeight="1">
      <c r="B315" s="6"/>
      <c r="C315" s="6"/>
      <c r="D315" s="6"/>
      <c r="E315" s="6"/>
      <c r="F315" s="6"/>
      <c r="G315" s="6"/>
      <c r="H315" s="6"/>
      <c r="I315" s="31"/>
      <c r="J315" s="31"/>
      <c r="K315" s="61" t="str">
        <f>IF(C315="","",_xlfn.XLOOKUP(C315,실!$D:$D,실!$B:$B,""))</f>
        <v/>
      </c>
      <c r="L315" s="48">
        <f>COUNTIFS(개구부!C:C, B315, 개구부!D:D, "window")</f>
        <v>0</v>
      </c>
      <c r="M315" s="48">
        <f>COUNTIFS(개구부!C:C, B315, 개구부!D:D, "&lt;&gt;window")</f>
        <v>0</v>
      </c>
    </row>
    <row r="316" spans="2:13" ht="18" customHeight="1">
      <c r="B316" s="6"/>
      <c r="C316" s="6"/>
      <c r="D316" s="6"/>
      <c r="E316" s="6"/>
      <c r="F316" s="6"/>
      <c r="G316" s="6"/>
      <c r="H316" s="6"/>
      <c r="I316" s="31"/>
      <c r="J316" s="31"/>
      <c r="K316" s="61" t="str">
        <f>IF(C316="","",_xlfn.XLOOKUP(C316,실!$D:$D,실!$B:$B,""))</f>
        <v/>
      </c>
      <c r="L316" s="48">
        <f>COUNTIFS(개구부!C:C, B316, 개구부!D:D, "window")</f>
        <v>0</v>
      </c>
      <c r="M316" s="48">
        <f>COUNTIFS(개구부!C:C, B316, 개구부!D:D, "&lt;&gt;window")</f>
        <v>0</v>
      </c>
    </row>
    <row r="317" spans="2:13" ht="18" customHeight="1">
      <c r="B317" s="6"/>
      <c r="C317" s="6"/>
      <c r="D317" s="6"/>
      <c r="E317" s="6"/>
      <c r="F317" s="6"/>
      <c r="G317" s="6"/>
      <c r="H317" s="6"/>
      <c r="I317" s="31"/>
      <c r="J317" s="31"/>
      <c r="K317" s="61" t="str">
        <f>IF(C317="","",_xlfn.XLOOKUP(C317,실!$D:$D,실!$B:$B,""))</f>
        <v/>
      </c>
      <c r="L317" s="48">
        <f>COUNTIFS(개구부!C:C, B317, 개구부!D:D, "window")</f>
        <v>0</v>
      </c>
      <c r="M317" s="48">
        <f>COUNTIFS(개구부!C:C, B317, 개구부!D:D, "&lt;&gt;window")</f>
        <v>0</v>
      </c>
    </row>
    <row r="318" spans="2:13" ht="18" customHeight="1">
      <c r="B318" s="6"/>
      <c r="C318" s="6"/>
      <c r="D318" s="6"/>
      <c r="E318" s="6"/>
      <c r="F318" s="6"/>
      <c r="G318" s="6"/>
      <c r="H318" s="6"/>
      <c r="I318" s="31"/>
      <c r="J318" s="31"/>
      <c r="K318" s="61" t="str">
        <f>IF(C318="","",_xlfn.XLOOKUP(C318,실!$D:$D,실!$B:$B,""))</f>
        <v/>
      </c>
      <c r="L318" s="48">
        <f>COUNTIFS(개구부!C:C, B318, 개구부!D:D, "window")</f>
        <v>0</v>
      </c>
      <c r="M318" s="48">
        <f>COUNTIFS(개구부!C:C, B318, 개구부!D:D, "&lt;&gt;window")</f>
        <v>0</v>
      </c>
    </row>
    <row r="319" spans="2:13" ht="18" customHeight="1">
      <c r="B319" s="6"/>
      <c r="C319" s="6"/>
      <c r="D319" s="6"/>
      <c r="E319" s="6"/>
      <c r="F319" s="6"/>
      <c r="G319" s="6"/>
      <c r="H319" s="6"/>
      <c r="I319" s="31"/>
      <c r="J319" s="31"/>
      <c r="K319" s="61" t="str">
        <f>IF(C319="","",_xlfn.XLOOKUP(C319,실!$D:$D,실!$B:$B,""))</f>
        <v/>
      </c>
      <c r="L319" s="48">
        <f>COUNTIFS(개구부!C:C, B319, 개구부!D:D, "window")</f>
        <v>0</v>
      </c>
      <c r="M319" s="48">
        <f>COUNTIFS(개구부!C:C, B319, 개구부!D:D, "&lt;&gt;window")</f>
        <v>0</v>
      </c>
    </row>
    <row r="320" spans="2:13" ht="18" customHeight="1">
      <c r="B320" s="6"/>
      <c r="C320" s="6"/>
      <c r="D320" s="6"/>
      <c r="E320" s="6"/>
      <c r="F320" s="6"/>
      <c r="G320" s="6"/>
      <c r="H320" s="6"/>
      <c r="I320" s="31"/>
      <c r="J320" s="31"/>
      <c r="K320" s="61" t="str">
        <f>IF(C320="","",_xlfn.XLOOKUP(C320,실!$D:$D,실!$B:$B,""))</f>
        <v/>
      </c>
      <c r="L320" s="48">
        <f>COUNTIFS(개구부!C:C, B320, 개구부!D:D, "window")</f>
        <v>0</v>
      </c>
      <c r="M320" s="48">
        <f>COUNTIFS(개구부!C:C, B320, 개구부!D:D, "&lt;&gt;window")</f>
        <v>0</v>
      </c>
    </row>
    <row r="321" spans="2:13" ht="18" customHeight="1">
      <c r="B321" s="6"/>
      <c r="C321" s="6"/>
      <c r="D321" s="6"/>
      <c r="E321" s="6"/>
      <c r="F321" s="6"/>
      <c r="G321" s="6"/>
      <c r="H321" s="6"/>
      <c r="I321" s="31"/>
      <c r="J321" s="31"/>
      <c r="K321" s="61" t="str">
        <f>IF(C321="","",_xlfn.XLOOKUP(C321,실!$D:$D,실!$B:$B,""))</f>
        <v/>
      </c>
      <c r="L321" s="48">
        <f>COUNTIFS(개구부!C:C, B321, 개구부!D:D, "window")</f>
        <v>0</v>
      </c>
      <c r="M321" s="48">
        <f>COUNTIFS(개구부!C:C, B321, 개구부!D:D, "&lt;&gt;window")</f>
        <v>0</v>
      </c>
    </row>
    <row r="322" spans="2:13" ht="18" customHeight="1">
      <c r="B322" s="6"/>
      <c r="C322" s="6"/>
      <c r="D322" s="6"/>
      <c r="E322" s="6"/>
      <c r="F322" s="6"/>
      <c r="G322" s="6"/>
      <c r="H322" s="6"/>
      <c r="I322" s="31"/>
      <c r="J322" s="31"/>
      <c r="K322" s="61" t="str">
        <f>IF(C322="","",_xlfn.XLOOKUP(C322,실!$D:$D,실!$B:$B,""))</f>
        <v/>
      </c>
      <c r="L322" s="48">
        <f>COUNTIFS(개구부!C:C, B322, 개구부!D:D, "window")</f>
        <v>0</v>
      </c>
      <c r="M322" s="48">
        <f>COUNTIFS(개구부!C:C, B322, 개구부!D:D, "&lt;&gt;window")</f>
        <v>0</v>
      </c>
    </row>
    <row r="323" spans="2:13" ht="18" customHeight="1">
      <c r="B323" s="6"/>
      <c r="C323" s="6"/>
      <c r="D323" s="6"/>
      <c r="E323" s="6"/>
      <c r="F323" s="6"/>
      <c r="G323" s="6"/>
      <c r="H323" s="6"/>
      <c r="I323" s="31"/>
      <c r="J323" s="31"/>
      <c r="K323" s="61" t="str">
        <f>IF(C323="","",_xlfn.XLOOKUP(C323,실!$D:$D,실!$B:$B,""))</f>
        <v/>
      </c>
      <c r="L323" s="48">
        <f>COUNTIFS(개구부!C:C, B323, 개구부!D:D, "window")</f>
        <v>0</v>
      </c>
      <c r="M323" s="48">
        <f>COUNTIFS(개구부!C:C, B323, 개구부!D:D, "&lt;&gt;window")</f>
        <v>0</v>
      </c>
    </row>
    <row r="324" spans="2:13" ht="18" customHeight="1">
      <c r="B324" s="6"/>
      <c r="C324" s="6"/>
      <c r="D324" s="6"/>
      <c r="E324" s="6"/>
      <c r="F324" s="6"/>
      <c r="G324" s="6"/>
      <c r="H324" s="6"/>
      <c r="I324" s="31"/>
      <c r="J324" s="31"/>
      <c r="K324" s="61" t="str">
        <f>IF(C324="","",_xlfn.XLOOKUP(C324,실!$D:$D,실!$B:$B,""))</f>
        <v/>
      </c>
      <c r="L324" s="48">
        <f>COUNTIFS(개구부!C:C, B324, 개구부!D:D, "window")</f>
        <v>0</v>
      </c>
      <c r="M324" s="48">
        <f>COUNTIFS(개구부!C:C, B324, 개구부!D:D, "&lt;&gt;window")</f>
        <v>0</v>
      </c>
    </row>
    <row r="325" spans="2:13" ht="18" customHeight="1">
      <c r="B325" s="6"/>
      <c r="C325" s="6"/>
      <c r="D325" s="6"/>
      <c r="E325" s="6"/>
      <c r="F325" s="6"/>
      <c r="G325" s="6"/>
      <c r="H325" s="6"/>
      <c r="I325" s="31"/>
      <c r="J325" s="31"/>
      <c r="K325" s="61" t="str">
        <f>IF(C325="","",_xlfn.XLOOKUP(C325,실!$D:$D,실!$B:$B,""))</f>
        <v/>
      </c>
      <c r="L325" s="48">
        <f>COUNTIFS(개구부!C:C, B325, 개구부!D:D, "window")</f>
        <v>0</v>
      </c>
      <c r="M325" s="48">
        <f>COUNTIFS(개구부!C:C, B325, 개구부!D:D, "&lt;&gt;window")</f>
        <v>0</v>
      </c>
    </row>
    <row r="326" spans="2:13" ht="18" customHeight="1">
      <c r="B326" s="6"/>
      <c r="C326" s="6"/>
      <c r="D326" s="6"/>
      <c r="E326" s="6"/>
      <c r="F326" s="6"/>
      <c r="G326" s="6"/>
      <c r="H326" s="6"/>
      <c r="I326" s="31"/>
      <c r="J326" s="31"/>
      <c r="K326" s="61" t="str">
        <f>IF(C326="","",_xlfn.XLOOKUP(C326,실!$D:$D,실!$B:$B,""))</f>
        <v/>
      </c>
      <c r="L326" s="48">
        <f>COUNTIFS(개구부!C:C, B326, 개구부!D:D, "window")</f>
        <v>0</v>
      </c>
      <c r="M326" s="48">
        <f>COUNTIFS(개구부!C:C, B326, 개구부!D:D, "&lt;&gt;window")</f>
        <v>0</v>
      </c>
    </row>
    <row r="327" spans="2:13" ht="18" customHeight="1">
      <c r="B327" s="6"/>
      <c r="C327" s="6"/>
      <c r="D327" s="6"/>
      <c r="E327" s="6"/>
      <c r="F327" s="6"/>
      <c r="G327" s="6"/>
      <c r="H327" s="6"/>
      <c r="I327" s="31"/>
      <c r="J327" s="31"/>
      <c r="K327" s="61" t="str">
        <f>IF(C327="","",_xlfn.XLOOKUP(C327,실!$D:$D,실!$B:$B,""))</f>
        <v/>
      </c>
      <c r="L327" s="48">
        <f>COUNTIFS(개구부!C:C, B327, 개구부!D:D, "window")</f>
        <v>0</v>
      </c>
      <c r="M327" s="48">
        <f>COUNTIFS(개구부!C:C, B327, 개구부!D:D, "&lt;&gt;window")</f>
        <v>0</v>
      </c>
    </row>
    <row r="328" spans="2:13" ht="18" customHeight="1">
      <c r="B328" s="6"/>
      <c r="C328" s="6"/>
      <c r="D328" s="6"/>
      <c r="E328" s="6"/>
      <c r="F328" s="6"/>
      <c r="G328" s="6"/>
      <c r="H328" s="6"/>
      <c r="I328" s="31"/>
      <c r="J328" s="31"/>
      <c r="K328" s="61" t="str">
        <f>IF(C328="","",_xlfn.XLOOKUP(C328,실!$D:$D,실!$B:$B,""))</f>
        <v/>
      </c>
      <c r="L328" s="48">
        <f>COUNTIFS(개구부!C:C, B328, 개구부!D:D, "window")</f>
        <v>0</v>
      </c>
      <c r="M328" s="48">
        <f>COUNTIFS(개구부!C:C, B328, 개구부!D:D, "&lt;&gt;window")</f>
        <v>0</v>
      </c>
    </row>
    <row r="329" spans="2:13" ht="18" customHeight="1">
      <c r="B329" s="6"/>
      <c r="C329" s="6"/>
      <c r="D329" s="6"/>
      <c r="E329" s="6"/>
      <c r="F329" s="6"/>
      <c r="G329" s="6"/>
      <c r="H329" s="6"/>
      <c r="I329" s="31"/>
      <c r="J329" s="31"/>
      <c r="K329" s="61" t="str">
        <f>IF(C329="","",_xlfn.XLOOKUP(C329,실!$D:$D,실!$B:$B,""))</f>
        <v/>
      </c>
      <c r="L329" s="48">
        <f>COUNTIFS(개구부!C:C, B329, 개구부!D:D, "window")</f>
        <v>0</v>
      </c>
      <c r="M329" s="48">
        <f>COUNTIFS(개구부!C:C, B329, 개구부!D:D, "&lt;&gt;window")</f>
        <v>0</v>
      </c>
    </row>
    <row r="330" spans="2:13" ht="18" customHeight="1">
      <c r="B330" s="6"/>
      <c r="C330" s="6"/>
      <c r="D330" s="6"/>
      <c r="E330" s="6"/>
      <c r="F330" s="6"/>
      <c r="G330" s="6"/>
      <c r="H330" s="6"/>
      <c r="I330" s="31"/>
      <c r="J330" s="31"/>
      <c r="K330" s="61" t="str">
        <f>IF(C330="","",_xlfn.XLOOKUP(C330,실!$D:$D,실!$B:$B,""))</f>
        <v/>
      </c>
      <c r="L330" s="48">
        <f>COUNTIFS(개구부!C:C, B330, 개구부!D:D, "window")</f>
        <v>0</v>
      </c>
      <c r="M330" s="48">
        <f>COUNTIFS(개구부!C:C, B330, 개구부!D:D, "&lt;&gt;window")</f>
        <v>0</v>
      </c>
    </row>
    <row r="331" spans="2:13" ht="18" customHeight="1">
      <c r="B331" s="6"/>
      <c r="C331" s="6"/>
      <c r="D331" s="6"/>
      <c r="E331" s="6"/>
      <c r="F331" s="6"/>
      <c r="G331" s="6"/>
      <c r="H331" s="6"/>
      <c r="I331" s="31"/>
      <c r="J331" s="31"/>
      <c r="K331" s="61" t="str">
        <f>IF(C331="","",_xlfn.XLOOKUP(C331,실!$D:$D,실!$B:$B,""))</f>
        <v/>
      </c>
      <c r="L331" s="48">
        <f>COUNTIFS(개구부!C:C, B331, 개구부!D:D, "window")</f>
        <v>0</v>
      </c>
      <c r="M331" s="48">
        <f>COUNTIFS(개구부!C:C, B331, 개구부!D:D, "&lt;&gt;window")</f>
        <v>0</v>
      </c>
    </row>
    <row r="332" spans="2:13" ht="18" customHeight="1">
      <c r="B332" s="6"/>
      <c r="C332" s="6"/>
      <c r="D332" s="6"/>
      <c r="E332" s="6"/>
      <c r="F332" s="6"/>
      <c r="G332" s="6"/>
      <c r="H332" s="6"/>
      <c r="I332" s="31"/>
      <c r="J332" s="31"/>
      <c r="K332" s="61" t="str">
        <f>IF(C332="","",_xlfn.XLOOKUP(C332,실!$D:$D,실!$B:$B,""))</f>
        <v/>
      </c>
      <c r="L332" s="48">
        <f>COUNTIFS(개구부!C:C, B332, 개구부!D:D, "window")</f>
        <v>0</v>
      </c>
      <c r="M332" s="48">
        <f>COUNTIFS(개구부!C:C, B332, 개구부!D:D, "&lt;&gt;window")</f>
        <v>0</v>
      </c>
    </row>
    <row r="333" spans="2:13" ht="18" customHeight="1">
      <c r="B333" s="6"/>
      <c r="C333" s="6"/>
      <c r="D333" s="6"/>
      <c r="E333" s="6"/>
      <c r="F333" s="6"/>
      <c r="G333" s="6"/>
      <c r="H333" s="6"/>
      <c r="I333" s="31"/>
      <c r="J333" s="31"/>
      <c r="K333" s="61" t="str">
        <f>IF(C333="","",_xlfn.XLOOKUP(C333,실!$D:$D,실!$B:$B,""))</f>
        <v/>
      </c>
      <c r="L333" s="48">
        <f>COUNTIFS(개구부!C:C, B333, 개구부!D:D, "window")</f>
        <v>0</v>
      </c>
      <c r="M333" s="48">
        <f>COUNTIFS(개구부!C:C, B333, 개구부!D:D, "&lt;&gt;window")</f>
        <v>0</v>
      </c>
    </row>
    <row r="334" spans="2:13" ht="18" customHeight="1">
      <c r="B334" s="6"/>
      <c r="C334" s="6"/>
      <c r="D334" s="6"/>
      <c r="E334" s="6"/>
      <c r="F334" s="6"/>
      <c r="G334" s="6"/>
      <c r="H334" s="6"/>
      <c r="I334" s="31"/>
      <c r="J334" s="31"/>
      <c r="K334" s="61" t="str">
        <f>IF(C334="","",_xlfn.XLOOKUP(C334,실!$D:$D,실!$B:$B,""))</f>
        <v/>
      </c>
      <c r="L334" s="48">
        <f>COUNTIFS(개구부!C:C, B334, 개구부!D:D, "window")</f>
        <v>0</v>
      </c>
      <c r="M334" s="48">
        <f>COUNTIFS(개구부!C:C, B334, 개구부!D:D, "&lt;&gt;window")</f>
        <v>0</v>
      </c>
    </row>
    <row r="335" spans="2:13" ht="18" customHeight="1">
      <c r="B335" s="6"/>
      <c r="C335" s="6"/>
      <c r="D335" s="6"/>
      <c r="E335" s="6"/>
      <c r="F335" s="6"/>
      <c r="G335" s="6"/>
      <c r="H335" s="6"/>
      <c r="I335" s="31"/>
      <c r="J335" s="31"/>
      <c r="K335" s="61" t="str">
        <f>IF(C335="","",_xlfn.XLOOKUP(C335,실!$D:$D,실!$B:$B,""))</f>
        <v/>
      </c>
      <c r="L335" s="48">
        <f>COUNTIFS(개구부!C:C, B335, 개구부!D:D, "window")</f>
        <v>0</v>
      </c>
      <c r="M335" s="48">
        <f>COUNTIFS(개구부!C:C, B335, 개구부!D:D, "&lt;&gt;window")</f>
        <v>0</v>
      </c>
    </row>
    <row r="336" spans="2:13" ht="18" customHeight="1">
      <c r="B336" s="6"/>
      <c r="C336" s="6"/>
      <c r="D336" s="6"/>
      <c r="E336" s="6"/>
      <c r="F336" s="6"/>
      <c r="G336" s="6"/>
      <c r="H336" s="6"/>
      <c r="I336" s="31"/>
      <c r="J336" s="31"/>
      <c r="K336" s="61" t="str">
        <f>IF(C336="","",_xlfn.XLOOKUP(C336,실!$D:$D,실!$B:$B,""))</f>
        <v/>
      </c>
      <c r="L336" s="48">
        <f>COUNTIFS(개구부!C:C, B336, 개구부!D:D, "window")</f>
        <v>0</v>
      </c>
      <c r="M336" s="48">
        <f>COUNTIFS(개구부!C:C, B336, 개구부!D:D, "&lt;&gt;window")</f>
        <v>0</v>
      </c>
    </row>
    <row r="337" spans="2:13" ht="18" customHeight="1">
      <c r="B337" s="6"/>
      <c r="C337" s="6"/>
      <c r="D337" s="6"/>
      <c r="E337" s="6"/>
      <c r="F337" s="6"/>
      <c r="G337" s="6"/>
      <c r="H337" s="6"/>
      <c r="I337" s="31"/>
      <c r="J337" s="31"/>
      <c r="K337" s="61" t="str">
        <f>IF(C337="","",_xlfn.XLOOKUP(C337,실!$D:$D,실!$B:$B,""))</f>
        <v/>
      </c>
      <c r="L337" s="48">
        <f>COUNTIFS(개구부!C:C, B337, 개구부!D:D, "window")</f>
        <v>0</v>
      </c>
      <c r="M337" s="48">
        <f>COUNTIFS(개구부!C:C, B337, 개구부!D:D, "&lt;&gt;window")</f>
        <v>0</v>
      </c>
    </row>
    <row r="338" spans="2:13" ht="18" customHeight="1">
      <c r="B338" s="6"/>
      <c r="C338" s="6"/>
      <c r="D338" s="6"/>
      <c r="E338" s="6"/>
      <c r="F338" s="6"/>
      <c r="G338" s="6"/>
      <c r="H338" s="6"/>
      <c r="I338" s="31"/>
      <c r="J338" s="31"/>
      <c r="K338" s="61" t="str">
        <f>IF(C338="","",_xlfn.XLOOKUP(C338,실!$D:$D,실!$B:$B,""))</f>
        <v/>
      </c>
      <c r="L338" s="48">
        <f>COUNTIFS(개구부!C:C, B338, 개구부!D:D, "window")</f>
        <v>0</v>
      </c>
      <c r="M338" s="48">
        <f>COUNTIFS(개구부!C:C, B338, 개구부!D:D, "&lt;&gt;window")</f>
        <v>0</v>
      </c>
    </row>
    <row r="339" spans="2:13" ht="18" customHeight="1">
      <c r="B339" s="6"/>
      <c r="C339" s="6"/>
      <c r="D339" s="6"/>
      <c r="E339" s="6"/>
      <c r="F339" s="6"/>
      <c r="G339" s="6"/>
      <c r="H339" s="6"/>
      <c r="I339" s="31"/>
      <c r="J339" s="31"/>
      <c r="K339" s="61" t="str">
        <f>IF(C339="","",_xlfn.XLOOKUP(C339,실!$D:$D,실!$B:$B,""))</f>
        <v/>
      </c>
      <c r="L339" s="48">
        <f>COUNTIFS(개구부!C:C, B339, 개구부!D:D, "window")</f>
        <v>0</v>
      </c>
      <c r="M339" s="48">
        <f>COUNTIFS(개구부!C:C, B339, 개구부!D:D, "&lt;&gt;window")</f>
        <v>0</v>
      </c>
    </row>
    <row r="340" spans="2:13" ht="18" customHeight="1">
      <c r="B340" s="6"/>
      <c r="C340" s="6"/>
      <c r="D340" s="6"/>
      <c r="E340" s="6"/>
      <c r="F340" s="6"/>
      <c r="G340" s="6"/>
      <c r="H340" s="6"/>
      <c r="I340" s="31"/>
      <c r="J340" s="31"/>
      <c r="K340" s="61" t="str">
        <f>IF(C340="","",_xlfn.XLOOKUP(C340,실!$D:$D,실!$B:$B,""))</f>
        <v/>
      </c>
      <c r="L340" s="48">
        <f>COUNTIFS(개구부!C:C, B340, 개구부!D:D, "window")</f>
        <v>0</v>
      </c>
      <c r="M340" s="48">
        <f>COUNTIFS(개구부!C:C, B340, 개구부!D:D, "&lt;&gt;window")</f>
        <v>0</v>
      </c>
    </row>
    <row r="341" spans="2:13" ht="18" customHeight="1">
      <c r="B341" s="6"/>
      <c r="C341" s="6"/>
      <c r="D341" s="6"/>
      <c r="E341" s="6"/>
      <c r="F341" s="6"/>
      <c r="G341" s="6"/>
      <c r="H341" s="6"/>
      <c r="I341" s="31"/>
      <c r="J341" s="31"/>
      <c r="K341" s="61" t="str">
        <f>IF(C341="","",_xlfn.XLOOKUP(C341,실!$D:$D,실!$B:$B,""))</f>
        <v/>
      </c>
      <c r="L341" s="48">
        <f>COUNTIFS(개구부!C:C, B341, 개구부!D:D, "window")</f>
        <v>0</v>
      </c>
      <c r="M341" s="48">
        <f>COUNTIFS(개구부!C:C, B341, 개구부!D:D, "&lt;&gt;window")</f>
        <v>0</v>
      </c>
    </row>
    <row r="342" spans="2:13" ht="18" customHeight="1">
      <c r="B342" s="6"/>
      <c r="C342" s="6"/>
      <c r="D342" s="6"/>
      <c r="E342" s="6"/>
      <c r="F342" s="6"/>
      <c r="G342" s="6"/>
      <c r="H342" s="6"/>
      <c r="I342" s="31"/>
      <c r="J342" s="31"/>
      <c r="K342" s="61" t="str">
        <f>IF(C342="","",_xlfn.XLOOKUP(C342,실!$D:$D,실!$B:$B,""))</f>
        <v/>
      </c>
      <c r="L342" s="48">
        <f>COUNTIFS(개구부!C:C, B342, 개구부!D:D, "window")</f>
        <v>0</v>
      </c>
      <c r="M342" s="48">
        <f>COUNTIFS(개구부!C:C, B342, 개구부!D:D, "&lt;&gt;window")</f>
        <v>0</v>
      </c>
    </row>
    <row r="343" spans="2:13" ht="18" customHeight="1">
      <c r="B343" s="6"/>
      <c r="C343" s="6"/>
      <c r="D343" s="6"/>
      <c r="E343" s="6"/>
      <c r="F343" s="6"/>
      <c r="G343" s="6"/>
      <c r="H343" s="6"/>
      <c r="I343" s="31"/>
      <c r="J343" s="31"/>
      <c r="K343" s="61" t="str">
        <f>IF(C343="","",_xlfn.XLOOKUP(C343,실!$D:$D,실!$B:$B,""))</f>
        <v/>
      </c>
      <c r="L343" s="48">
        <f>COUNTIFS(개구부!C:C, B343, 개구부!D:D, "window")</f>
        <v>0</v>
      </c>
      <c r="M343" s="48">
        <f>COUNTIFS(개구부!C:C, B343, 개구부!D:D, "&lt;&gt;window")</f>
        <v>0</v>
      </c>
    </row>
    <row r="344" spans="2:13" ht="18" customHeight="1">
      <c r="B344" s="6"/>
      <c r="C344" s="6"/>
      <c r="D344" s="6"/>
      <c r="E344" s="6"/>
      <c r="F344" s="6"/>
      <c r="G344" s="6"/>
      <c r="H344" s="6"/>
      <c r="I344" s="31"/>
      <c r="J344" s="31"/>
      <c r="K344" s="61" t="str">
        <f>IF(C344="","",_xlfn.XLOOKUP(C344,실!$D:$D,실!$B:$B,""))</f>
        <v/>
      </c>
      <c r="L344" s="48">
        <f>COUNTIFS(개구부!C:C, B344, 개구부!D:D, "window")</f>
        <v>0</v>
      </c>
      <c r="M344" s="48">
        <f>COUNTIFS(개구부!C:C, B344, 개구부!D:D, "&lt;&gt;window")</f>
        <v>0</v>
      </c>
    </row>
    <row r="345" spans="2:13" ht="18" customHeight="1">
      <c r="B345" s="6"/>
      <c r="C345" s="6"/>
      <c r="D345" s="6"/>
      <c r="E345" s="6"/>
      <c r="F345" s="6"/>
      <c r="G345" s="6"/>
      <c r="H345" s="6"/>
      <c r="I345" s="31"/>
      <c r="J345" s="31"/>
      <c r="K345" s="61" t="str">
        <f>IF(C345="","",_xlfn.XLOOKUP(C345,실!$D:$D,실!$B:$B,""))</f>
        <v/>
      </c>
      <c r="L345" s="48">
        <f>COUNTIFS(개구부!C:C, B345, 개구부!D:D, "window")</f>
        <v>0</v>
      </c>
      <c r="M345" s="48">
        <f>COUNTIFS(개구부!C:C, B345, 개구부!D:D, "&lt;&gt;window")</f>
        <v>0</v>
      </c>
    </row>
    <row r="346" spans="2:13" ht="18" customHeight="1">
      <c r="B346" s="6"/>
      <c r="C346" s="6"/>
      <c r="D346" s="6"/>
      <c r="E346" s="6"/>
      <c r="F346" s="6"/>
      <c r="G346" s="6"/>
      <c r="H346" s="6"/>
      <c r="I346" s="31"/>
      <c r="J346" s="31"/>
      <c r="K346" s="61" t="str">
        <f>IF(C346="","",_xlfn.XLOOKUP(C346,실!$D:$D,실!$B:$B,""))</f>
        <v/>
      </c>
      <c r="L346" s="48">
        <f>COUNTIFS(개구부!C:C, B346, 개구부!D:D, "window")</f>
        <v>0</v>
      </c>
      <c r="M346" s="48">
        <f>COUNTIFS(개구부!C:C, B346, 개구부!D:D, "&lt;&gt;window")</f>
        <v>0</v>
      </c>
    </row>
    <row r="347" spans="2:13" ht="18" customHeight="1">
      <c r="B347" s="6"/>
      <c r="C347" s="6"/>
      <c r="D347" s="6"/>
      <c r="E347" s="6"/>
      <c r="F347" s="6"/>
      <c r="G347" s="6"/>
      <c r="H347" s="6"/>
      <c r="I347" s="31"/>
      <c r="J347" s="31"/>
      <c r="K347" s="61" t="str">
        <f>IF(C347="","",_xlfn.XLOOKUP(C347,실!$D:$D,실!$B:$B,""))</f>
        <v/>
      </c>
      <c r="L347" s="48">
        <f>COUNTIFS(개구부!C:C, B347, 개구부!D:D, "window")</f>
        <v>0</v>
      </c>
      <c r="M347" s="48">
        <f>COUNTIFS(개구부!C:C, B347, 개구부!D:D, "&lt;&gt;window")</f>
        <v>0</v>
      </c>
    </row>
    <row r="348" spans="2:13" ht="18" customHeight="1">
      <c r="B348" s="6"/>
      <c r="C348" s="6"/>
      <c r="D348" s="6"/>
      <c r="E348" s="6"/>
      <c r="F348" s="6"/>
      <c r="G348" s="6"/>
      <c r="H348" s="6"/>
      <c r="I348" s="31"/>
      <c r="J348" s="31"/>
      <c r="K348" s="61" t="str">
        <f>IF(C348="","",_xlfn.XLOOKUP(C348,실!$D:$D,실!$B:$B,""))</f>
        <v/>
      </c>
      <c r="L348" s="48">
        <f>COUNTIFS(개구부!C:C, B348, 개구부!D:D, "window")</f>
        <v>0</v>
      </c>
      <c r="M348" s="48">
        <f>COUNTIFS(개구부!C:C, B348, 개구부!D:D, "&lt;&gt;window")</f>
        <v>0</v>
      </c>
    </row>
    <row r="349" spans="2:13" ht="18" customHeight="1">
      <c r="B349" s="6"/>
      <c r="C349" s="6"/>
      <c r="D349" s="6"/>
      <c r="E349" s="6"/>
      <c r="F349" s="6"/>
      <c r="G349" s="6"/>
      <c r="H349" s="6"/>
      <c r="I349" s="31"/>
      <c r="J349" s="31"/>
      <c r="K349" s="61" t="str">
        <f>IF(C349="","",_xlfn.XLOOKUP(C349,실!$D:$D,실!$B:$B,""))</f>
        <v/>
      </c>
      <c r="L349" s="48">
        <f>COUNTIFS(개구부!C:C, B349, 개구부!D:D, "window")</f>
        <v>0</v>
      </c>
      <c r="M349" s="48">
        <f>COUNTIFS(개구부!C:C, B349, 개구부!D:D, "&lt;&gt;window")</f>
        <v>0</v>
      </c>
    </row>
    <row r="350" spans="2:13" ht="18" customHeight="1">
      <c r="B350" s="6"/>
      <c r="C350" s="6"/>
      <c r="D350" s="6"/>
      <c r="E350" s="6"/>
      <c r="F350" s="6"/>
      <c r="G350" s="6"/>
      <c r="H350" s="6"/>
      <c r="I350" s="31"/>
      <c r="J350" s="31"/>
      <c r="K350" s="61" t="str">
        <f>IF(C350="","",_xlfn.XLOOKUP(C350,실!$D:$D,실!$B:$B,""))</f>
        <v/>
      </c>
      <c r="L350" s="48">
        <f>COUNTIFS(개구부!C:C, B350, 개구부!D:D, "window")</f>
        <v>0</v>
      </c>
      <c r="M350" s="48">
        <f>COUNTIFS(개구부!C:C, B350, 개구부!D:D, "&lt;&gt;window")</f>
        <v>0</v>
      </c>
    </row>
    <row r="351" spans="2:13" ht="18" customHeight="1">
      <c r="B351" s="6"/>
      <c r="C351" s="6"/>
      <c r="D351" s="6"/>
      <c r="E351" s="6"/>
      <c r="F351" s="6"/>
      <c r="G351" s="6"/>
      <c r="H351" s="6"/>
      <c r="I351" s="31"/>
      <c r="J351" s="31"/>
      <c r="K351" s="61" t="str">
        <f>IF(C351="","",_xlfn.XLOOKUP(C351,실!$D:$D,실!$B:$B,""))</f>
        <v/>
      </c>
      <c r="L351" s="48">
        <f>COUNTIFS(개구부!C:C, B351, 개구부!D:D, "window")</f>
        <v>0</v>
      </c>
      <c r="M351" s="48">
        <f>COUNTIFS(개구부!C:C, B351, 개구부!D:D, "&lt;&gt;window")</f>
        <v>0</v>
      </c>
    </row>
    <row r="352" spans="2:13" ht="18" customHeight="1">
      <c r="B352" s="6"/>
      <c r="C352" s="6"/>
      <c r="D352" s="6"/>
      <c r="E352" s="6"/>
      <c r="F352" s="6"/>
      <c r="G352" s="6"/>
      <c r="H352" s="6"/>
      <c r="I352" s="31"/>
      <c r="J352" s="31"/>
      <c r="K352" s="61" t="str">
        <f>IF(C352="","",_xlfn.XLOOKUP(C352,실!$D:$D,실!$B:$B,""))</f>
        <v/>
      </c>
      <c r="L352" s="48">
        <f>COUNTIFS(개구부!C:C, B352, 개구부!D:D, "window")</f>
        <v>0</v>
      </c>
      <c r="M352" s="48">
        <f>COUNTIFS(개구부!C:C, B352, 개구부!D:D, "&lt;&gt;window")</f>
        <v>0</v>
      </c>
    </row>
    <row r="353" spans="2:13" ht="18" customHeight="1">
      <c r="B353" s="6"/>
      <c r="C353" s="6"/>
      <c r="D353" s="6"/>
      <c r="E353" s="6"/>
      <c r="F353" s="6"/>
      <c r="G353" s="6"/>
      <c r="H353" s="6"/>
      <c r="I353" s="31"/>
      <c r="J353" s="31"/>
      <c r="K353" s="61" t="str">
        <f>IF(C353="","",_xlfn.XLOOKUP(C353,실!$D:$D,실!$B:$B,""))</f>
        <v/>
      </c>
      <c r="L353" s="48">
        <f>COUNTIFS(개구부!C:C, B353, 개구부!D:D, "window")</f>
        <v>0</v>
      </c>
      <c r="M353" s="48">
        <f>COUNTIFS(개구부!C:C, B353, 개구부!D:D, "&lt;&gt;window")</f>
        <v>0</v>
      </c>
    </row>
    <row r="354" spans="2:13" ht="18" customHeight="1">
      <c r="B354" s="6"/>
      <c r="C354" s="6"/>
      <c r="D354" s="6"/>
      <c r="E354" s="6"/>
      <c r="F354" s="6"/>
      <c r="G354" s="6"/>
      <c r="H354" s="6"/>
      <c r="I354" s="31"/>
      <c r="J354" s="31"/>
      <c r="K354" s="61" t="str">
        <f>IF(C354="","",_xlfn.XLOOKUP(C354,실!$D:$D,실!$B:$B,""))</f>
        <v/>
      </c>
      <c r="L354" s="48">
        <f>COUNTIFS(개구부!C:C, B354, 개구부!D:D, "window")</f>
        <v>0</v>
      </c>
      <c r="M354" s="48">
        <f>COUNTIFS(개구부!C:C, B354, 개구부!D:D, "&lt;&gt;window")</f>
        <v>0</v>
      </c>
    </row>
    <row r="355" spans="2:13" ht="18" customHeight="1">
      <c r="B355" s="6"/>
      <c r="C355" s="6"/>
      <c r="D355" s="6"/>
      <c r="E355" s="6"/>
      <c r="F355" s="6"/>
      <c r="G355" s="6"/>
      <c r="H355" s="6"/>
      <c r="I355" s="31"/>
      <c r="J355" s="31"/>
      <c r="K355" s="61" t="str">
        <f>IF(C355="","",_xlfn.XLOOKUP(C355,실!$D:$D,실!$B:$B,""))</f>
        <v/>
      </c>
      <c r="L355" s="48">
        <f>COUNTIFS(개구부!C:C, B355, 개구부!D:D, "window")</f>
        <v>0</v>
      </c>
      <c r="M355" s="48">
        <f>COUNTIFS(개구부!C:C, B355, 개구부!D:D, "&lt;&gt;window")</f>
        <v>0</v>
      </c>
    </row>
    <row r="356" spans="2:13" ht="18" customHeight="1">
      <c r="B356" s="6"/>
      <c r="C356" s="6"/>
      <c r="D356" s="6"/>
      <c r="E356" s="6"/>
      <c r="F356" s="6"/>
      <c r="G356" s="6"/>
      <c r="H356" s="6"/>
      <c r="I356" s="31"/>
      <c r="J356" s="31"/>
      <c r="K356" s="61" t="str">
        <f>IF(C356="","",_xlfn.XLOOKUP(C356,실!$D:$D,실!$B:$B,""))</f>
        <v/>
      </c>
      <c r="L356" s="48">
        <f>COUNTIFS(개구부!C:C, B356, 개구부!D:D, "window")</f>
        <v>0</v>
      </c>
      <c r="M356" s="48">
        <f>COUNTIFS(개구부!C:C, B356, 개구부!D:D, "&lt;&gt;window")</f>
        <v>0</v>
      </c>
    </row>
    <row r="357" spans="2:13" ht="18" customHeight="1">
      <c r="B357" s="6"/>
      <c r="C357" s="6"/>
      <c r="D357" s="6"/>
      <c r="E357" s="6"/>
      <c r="F357" s="6"/>
      <c r="G357" s="6"/>
      <c r="H357" s="6"/>
      <c r="I357" s="31"/>
      <c r="J357" s="31"/>
      <c r="K357" s="61" t="str">
        <f>IF(C357="","",_xlfn.XLOOKUP(C357,실!$D:$D,실!$B:$B,""))</f>
        <v/>
      </c>
      <c r="L357" s="48">
        <f>COUNTIFS(개구부!C:C, B357, 개구부!D:D, "window")</f>
        <v>0</v>
      </c>
      <c r="M357" s="48">
        <f>COUNTIFS(개구부!C:C, B357, 개구부!D:D, "&lt;&gt;window")</f>
        <v>0</v>
      </c>
    </row>
    <row r="358" spans="2:13" ht="18" customHeight="1">
      <c r="B358" s="6"/>
      <c r="C358" s="6"/>
      <c r="D358" s="6"/>
      <c r="E358" s="6"/>
      <c r="F358" s="6"/>
      <c r="G358" s="6"/>
      <c r="H358" s="6"/>
      <c r="I358" s="31"/>
      <c r="J358" s="31"/>
      <c r="K358" s="61" t="str">
        <f>IF(C358="","",_xlfn.XLOOKUP(C358,실!$D:$D,실!$B:$B,""))</f>
        <v/>
      </c>
      <c r="L358" s="48">
        <f>COUNTIFS(개구부!C:C, B358, 개구부!D:D, "window")</f>
        <v>0</v>
      </c>
      <c r="M358" s="48">
        <f>COUNTIFS(개구부!C:C, B358, 개구부!D:D, "&lt;&gt;window")</f>
        <v>0</v>
      </c>
    </row>
    <row r="359" spans="2:13" ht="18" customHeight="1">
      <c r="B359" s="6"/>
      <c r="C359" s="6"/>
      <c r="D359" s="6"/>
      <c r="E359" s="6"/>
      <c r="F359" s="6"/>
      <c r="G359" s="6"/>
      <c r="H359" s="6"/>
      <c r="I359" s="31"/>
      <c r="J359" s="31"/>
      <c r="K359" s="61" t="str">
        <f>IF(C359="","",_xlfn.XLOOKUP(C359,실!$D:$D,실!$B:$B,""))</f>
        <v/>
      </c>
      <c r="L359" s="48">
        <f>COUNTIFS(개구부!C:C, B359, 개구부!D:D, "window")</f>
        <v>0</v>
      </c>
      <c r="M359" s="48">
        <f>COUNTIFS(개구부!C:C, B359, 개구부!D:D, "&lt;&gt;window")</f>
        <v>0</v>
      </c>
    </row>
    <row r="360" spans="2:13" ht="18" customHeight="1">
      <c r="B360" s="6"/>
      <c r="C360" s="6"/>
      <c r="D360" s="6"/>
      <c r="E360" s="6"/>
      <c r="F360" s="6"/>
      <c r="G360" s="6"/>
      <c r="H360" s="6"/>
      <c r="I360" s="31"/>
      <c r="J360" s="31"/>
      <c r="K360" s="61" t="str">
        <f>IF(C360="","",_xlfn.XLOOKUP(C360,실!$D:$D,실!$B:$B,""))</f>
        <v/>
      </c>
      <c r="L360" s="48">
        <f>COUNTIFS(개구부!C:C, B360, 개구부!D:D, "window")</f>
        <v>0</v>
      </c>
      <c r="M360" s="48">
        <f>COUNTIFS(개구부!C:C, B360, 개구부!D:D, "&lt;&gt;window")</f>
        <v>0</v>
      </c>
    </row>
    <row r="361" spans="2:13" ht="18" customHeight="1">
      <c r="B361" s="6"/>
      <c r="C361" s="6"/>
      <c r="D361" s="6"/>
      <c r="E361" s="6"/>
      <c r="F361" s="6"/>
      <c r="G361" s="6"/>
      <c r="H361" s="6"/>
      <c r="I361" s="31"/>
      <c r="J361" s="31"/>
      <c r="K361" s="61" t="str">
        <f>IF(C361="","",_xlfn.XLOOKUP(C361,실!$D:$D,실!$B:$B,""))</f>
        <v/>
      </c>
      <c r="L361" s="48">
        <f>COUNTIFS(개구부!C:C, B361, 개구부!D:D, "window")</f>
        <v>0</v>
      </c>
      <c r="M361" s="48">
        <f>COUNTIFS(개구부!C:C, B361, 개구부!D:D, "&lt;&gt;window")</f>
        <v>0</v>
      </c>
    </row>
    <row r="362" spans="2:13" ht="18" customHeight="1">
      <c r="B362" s="6"/>
      <c r="C362" s="6"/>
      <c r="D362" s="6"/>
      <c r="E362" s="6"/>
      <c r="F362" s="6"/>
      <c r="G362" s="6"/>
      <c r="H362" s="6"/>
      <c r="I362" s="31"/>
      <c r="J362" s="31"/>
      <c r="K362" s="61" t="str">
        <f>IF(C362="","",_xlfn.XLOOKUP(C362,실!$D:$D,실!$B:$B,""))</f>
        <v/>
      </c>
      <c r="L362" s="48">
        <f>COUNTIFS(개구부!C:C, B362, 개구부!D:D, "window")</f>
        <v>0</v>
      </c>
      <c r="M362" s="48">
        <f>COUNTIFS(개구부!C:C, B362, 개구부!D:D, "&lt;&gt;window")</f>
        <v>0</v>
      </c>
    </row>
    <row r="363" spans="2:13" ht="18" customHeight="1">
      <c r="B363" s="6"/>
      <c r="C363" s="6"/>
      <c r="D363" s="6"/>
      <c r="E363" s="6"/>
      <c r="F363" s="6"/>
      <c r="G363" s="6"/>
      <c r="H363" s="6"/>
      <c r="I363" s="31"/>
      <c r="J363" s="31"/>
      <c r="K363" s="61" t="str">
        <f>IF(C363="","",_xlfn.XLOOKUP(C363,실!$D:$D,실!$B:$B,""))</f>
        <v/>
      </c>
      <c r="L363" s="48">
        <f>COUNTIFS(개구부!C:C, B363, 개구부!D:D, "window")</f>
        <v>0</v>
      </c>
      <c r="M363" s="48">
        <f>COUNTIFS(개구부!C:C, B363, 개구부!D:D, "&lt;&gt;window")</f>
        <v>0</v>
      </c>
    </row>
    <row r="364" spans="2:13" ht="18" customHeight="1">
      <c r="B364" s="6"/>
      <c r="C364" s="6"/>
      <c r="D364" s="6"/>
      <c r="E364" s="6"/>
      <c r="F364" s="6"/>
      <c r="G364" s="6"/>
      <c r="H364" s="6"/>
      <c r="I364" s="31"/>
      <c r="J364" s="31"/>
      <c r="K364" s="61" t="str">
        <f>IF(C364="","",_xlfn.XLOOKUP(C364,실!$D:$D,실!$B:$B,""))</f>
        <v/>
      </c>
      <c r="L364" s="48">
        <f>COUNTIFS(개구부!C:C, B364, 개구부!D:D, "window")</f>
        <v>0</v>
      </c>
      <c r="M364" s="48">
        <f>COUNTIFS(개구부!C:C, B364, 개구부!D:D, "&lt;&gt;window")</f>
        <v>0</v>
      </c>
    </row>
    <row r="365" spans="2:13" ht="18" customHeight="1">
      <c r="B365" s="6"/>
      <c r="C365" s="6"/>
      <c r="D365" s="6"/>
      <c r="E365" s="6"/>
      <c r="F365" s="6"/>
      <c r="G365" s="6"/>
      <c r="H365" s="6"/>
      <c r="I365" s="31"/>
      <c r="J365" s="31"/>
      <c r="K365" s="61" t="str">
        <f>IF(C365="","",_xlfn.XLOOKUP(C365,실!$D:$D,실!$B:$B,""))</f>
        <v/>
      </c>
      <c r="L365" s="48">
        <f>COUNTIFS(개구부!C:C, B365, 개구부!D:D, "window")</f>
        <v>0</v>
      </c>
      <c r="M365" s="48">
        <f>COUNTIFS(개구부!C:C, B365, 개구부!D:D, "&lt;&gt;window")</f>
        <v>0</v>
      </c>
    </row>
    <row r="366" spans="2:13" ht="18" customHeight="1">
      <c r="B366" s="6"/>
      <c r="C366" s="6"/>
      <c r="D366" s="6"/>
      <c r="E366" s="6"/>
      <c r="F366" s="6"/>
      <c r="G366" s="6"/>
      <c r="H366" s="6"/>
      <c r="I366" s="31"/>
      <c r="J366" s="31"/>
      <c r="K366" s="61" t="str">
        <f>IF(C366="","",_xlfn.XLOOKUP(C366,실!$D:$D,실!$B:$B,""))</f>
        <v/>
      </c>
      <c r="L366" s="48">
        <f>COUNTIFS(개구부!C:C, B366, 개구부!D:D, "window")</f>
        <v>0</v>
      </c>
      <c r="M366" s="48">
        <f>COUNTIFS(개구부!C:C, B366, 개구부!D:D, "&lt;&gt;window")</f>
        <v>0</v>
      </c>
    </row>
    <row r="367" spans="2:13" ht="18" customHeight="1">
      <c r="B367" s="6"/>
      <c r="C367" s="6"/>
      <c r="D367" s="6"/>
      <c r="E367" s="6"/>
      <c r="F367" s="6"/>
      <c r="G367" s="6"/>
      <c r="H367" s="6"/>
      <c r="I367" s="31"/>
      <c r="J367" s="31"/>
      <c r="K367" s="61" t="str">
        <f>IF(C367="","",_xlfn.XLOOKUP(C367,실!$D:$D,실!$B:$B,""))</f>
        <v/>
      </c>
      <c r="L367" s="48">
        <f>COUNTIFS(개구부!C:C, B367, 개구부!D:D, "window")</f>
        <v>0</v>
      </c>
      <c r="M367" s="48">
        <f>COUNTIFS(개구부!C:C, B367, 개구부!D:D, "&lt;&gt;window")</f>
        <v>0</v>
      </c>
    </row>
    <row r="368" spans="2:13" ht="18" customHeight="1">
      <c r="B368" s="6"/>
      <c r="C368" s="6"/>
      <c r="D368" s="6"/>
      <c r="E368" s="6"/>
      <c r="F368" s="6"/>
      <c r="G368" s="6"/>
      <c r="H368" s="6"/>
      <c r="I368" s="31"/>
      <c r="J368" s="31"/>
      <c r="K368" s="61" t="str">
        <f>IF(C368="","",_xlfn.XLOOKUP(C368,실!$D:$D,실!$B:$B,""))</f>
        <v/>
      </c>
      <c r="L368" s="48">
        <f>COUNTIFS(개구부!C:C, B368, 개구부!D:D, "window")</f>
        <v>0</v>
      </c>
      <c r="M368" s="48">
        <f>COUNTIFS(개구부!C:C, B368, 개구부!D:D, "&lt;&gt;window")</f>
        <v>0</v>
      </c>
    </row>
    <row r="369" spans="2:13" ht="18" customHeight="1">
      <c r="B369" s="6"/>
      <c r="C369" s="6"/>
      <c r="D369" s="6"/>
      <c r="E369" s="6"/>
      <c r="F369" s="6"/>
      <c r="G369" s="6"/>
      <c r="H369" s="6"/>
      <c r="I369" s="31"/>
      <c r="J369" s="31"/>
      <c r="K369" s="61" t="str">
        <f>IF(C369="","",_xlfn.XLOOKUP(C369,실!$D:$D,실!$B:$B,""))</f>
        <v/>
      </c>
      <c r="L369" s="48">
        <f>COUNTIFS(개구부!C:C, B369, 개구부!D:D, "window")</f>
        <v>0</v>
      </c>
      <c r="M369" s="48">
        <f>COUNTIFS(개구부!C:C, B369, 개구부!D:D, "&lt;&gt;window")</f>
        <v>0</v>
      </c>
    </row>
    <row r="370" spans="2:13" ht="18" customHeight="1">
      <c r="B370" s="6"/>
      <c r="C370" s="6"/>
      <c r="D370" s="6"/>
      <c r="E370" s="6"/>
      <c r="F370" s="6"/>
      <c r="G370" s="6"/>
      <c r="H370" s="6"/>
      <c r="I370" s="31"/>
      <c r="J370" s="31"/>
      <c r="K370" s="61" t="str">
        <f>IF(C370="","",_xlfn.XLOOKUP(C370,실!$D:$D,실!$B:$B,""))</f>
        <v/>
      </c>
      <c r="L370" s="48">
        <f>COUNTIFS(개구부!C:C, B370, 개구부!D:D, "window")</f>
        <v>0</v>
      </c>
      <c r="M370" s="48">
        <f>COUNTIFS(개구부!C:C, B370, 개구부!D:D, "&lt;&gt;window")</f>
        <v>0</v>
      </c>
    </row>
    <row r="371" spans="2:13" ht="18" customHeight="1">
      <c r="B371" s="6"/>
      <c r="C371" s="6"/>
      <c r="D371" s="6"/>
      <c r="E371" s="6"/>
      <c r="F371" s="6"/>
      <c r="G371" s="6"/>
      <c r="H371" s="6"/>
      <c r="I371" s="31"/>
      <c r="J371" s="31"/>
      <c r="K371" s="61" t="str">
        <f>IF(C371="","",_xlfn.XLOOKUP(C371,실!$D:$D,실!$B:$B,""))</f>
        <v/>
      </c>
      <c r="L371" s="48">
        <f>COUNTIFS(개구부!C:C, B371, 개구부!D:D, "window")</f>
        <v>0</v>
      </c>
      <c r="M371" s="48">
        <f>COUNTIFS(개구부!C:C, B371, 개구부!D:D, "&lt;&gt;window")</f>
        <v>0</v>
      </c>
    </row>
    <row r="372" spans="2:13" ht="18" customHeight="1">
      <c r="B372" s="6"/>
      <c r="C372" s="6"/>
      <c r="D372" s="6"/>
      <c r="E372" s="6"/>
      <c r="F372" s="6"/>
      <c r="G372" s="6"/>
      <c r="H372" s="6"/>
      <c r="I372" s="31"/>
      <c r="J372" s="31"/>
      <c r="K372" s="61" t="str">
        <f>IF(C372="","",_xlfn.XLOOKUP(C372,실!$D:$D,실!$B:$B,""))</f>
        <v/>
      </c>
      <c r="L372" s="48">
        <f>COUNTIFS(개구부!C:C, B372, 개구부!D:D, "window")</f>
        <v>0</v>
      </c>
      <c r="M372" s="48">
        <f>COUNTIFS(개구부!C:C, B372, 개구부!D:D, "&lt;&gt;window")</f>
        <v>0</v>
      </c>
    </row>
    <row r="373" spans="2:13" ht="18" customHeight="1">
      <c r="B373" s="6"/>
      <c r="C373" s="6"/>
      <c r="D373" s="6"/>
      <c r="E373" s="6"/>
      <c r="F373" s="6"/>
      <c r="G373" s="6"/>
      <c r="H373" s="6"/>
      <c r="I373" s="31"/>
      <c r="J373" s="31"/>
      <c r="K373" s="61" t="str">
        <f>IF(C373="","",_xlfn.XLOOKUP(C373,실!$D:$D,실!$B:$B,""))</f>
        <v/>
      </c>
      <c r="L373" s="48">
        <f>COUNTIFS(개구부!C:C, B373, 개구부!D:D, "window")</f>
        <v>0</v>
      </c>
      <c r="M373" s="48">
        <f>COUNTIFS(개구부!C:C, B373, 개구부!D:D, "&lt;&gt;window")</f>
        <v>0</v>
      </c>
    </row>
    <row r="374" spans="2:13" ht="18" customHeight="1">
      <c r="B374" s="6"/>
      <c r="C374" s="6"/>
      <c r="D374" s="6"/>
      <c r="E374" s="6"/>
      <c r="F374" s="6"/>
      <c r="G374" s="6"/>
      <c r="H374" s="6"/>
      <c r="I374" s="31"/>
      <c r="J374" s="31"/>
      <c r="K374" s="61" t="str">
        <f>IF(C374="","",_xlfn.XLOOKUP(C374,실!$D:$D,실!$B:$B,""))</f>
        <v/>
      </c>
      <c r="L374" s="48">
        <f>COUNTIFS(개구부!C:C, B374, 개구부!D:D, "window")</f>
        <v>0</v>
      </c>
      <c r="M374" s="48">
        <f>COUNTIFS(개구부!C:C, B374, 개구부!D:D, "&lt;&gt;window")</f>
        <v>0</v>
      </c>
    </row>
    <row r="375" spans="2:13" ht="18" customHeight="1">
      <c r="B375" s="6"/>
      <c r="C375" s="6"/>
      <c r="D375" s="6"/>
      <c r="E375" s="6"/>
      <c r="F375" s="6"/>
      <c r="G375" s="6"/>
      <c r="H375" s="6"/>
      <c r="I375" s="31"/>
      <c r="J375" s="31"/>
      <c r="K375" s="61" t="str">
        <f>IF(C375="","",_xlfn.XLOOKUP(C375,실!$D:$D,실!$B:$B,""))</f>
        <v/>
      </c>
      <c r="L375" s="48">
        <f>COUNTIFS(개구부!C:C, B375, 개구부!D:D, "window")</f>
        <v>0</v>
      </c>
      <c r="M375" s="48">
        <f>COUNTIFS(개구부!C:C, B375, 개구부!D:D, "&lt;&gt;window")</f>
        <v>0</v>
      </c>
    </row>
    <row r="376" spans="2:13" ht="18" customHeight="1">
      <c r="B376" s="6"/>
      <c r="C376" s="6"/>
      <c r="D376" s="6"/>
      <c r="E376" s="6"/>
      <c r="F376" s="6"/>
      <c r="G376" s="6"/>
      <c r="H376" s="6"/>
      <c r="I376" s="31"/>
      <c r="J376" s="31"/>
      <c r="K376" s="61" t="str">
        <f>IF(C376="","",_xlfn.XLOOKUP(C376,실!$D:$D,실!$B:$B,""))</f>
        <v/>
      </c>
      <c r="L376" s="48">
        <f>COUNTIFS(개구부!C:C, B376, 개구부!D:D, "window")</f>
        <v>0</v>
      </c>
      <c r="M376" s="48">
        <f>COUNTIFS(개구부!C:C, B376, 개구부!D:D, "&lt;&gt;window")</f>
        <v>0</v>
      </c>
    </row>
    <row r="377" spans="2:13" ht="18" customHeight="1">
      <c r="B377" s="6"/>
      <c r="C377" s="6"/>
      <c r="D377" s="6"/>
      <c r="E377" s="6"/>
      <c r="F377" s="6"/>
      <c r="G377" s="6"/>
      <c r="H377" s="6"/>
      <c r="I377" s="31"/>
      <c r="J377" s="31"/>
      <c r="K377" s="61" t="str">
        <f>IF(C377="","",_xlfn.XLOOKUP(C377,실!$D:$D,실!$B:$B,""))</f>
        <v/>
      </c>
      <c r="L377" s="48">
        <f>COUNTIFS(개구부!C:C, B377, 개구부!D:D, "window")</f>
        <v>0</v>
      </c>
      <c r="M377" s="48">
        <f>COUNTIFS(개구부!C:C, B377, 개구부!D:D, "&lt;&gt;window")</f>
        <v>0</v>
      </c>
    </row>
    <row r="378" spans="2:13" ht="18" customHeight="1">
      <c r="B378" s="6"/>
      <c r="C378" s="6"/>
      <c r="D378" s="6"/>
      <c r="E378" s="6"/>
      <c r="F378" s="6"/>
      <c r="G378" s="6"/>
      <c r="H378" s="6"/>
      <c r="I378" s="31"/>
      <c r="J378" s="31"/>
      <c r="K378" s="61" t="str">
        <f>IF(C378="","",_xlfn.XLOOKUP(C378,실!$D:$D,실!$B:$B,""))</f>
        <v/>
      </c>
      <c r="L378" s="48">
        <f>COUNTIFS(개구부!C:C, B378, 개구부!D:D, "window")</f>
        <v>0</v>
      </c>
      <c r="M378" s="48">
        <f>COUNTIFS(개구부!C:C, B378, 개구부!D:D, "&lt;&gt;window")</f>
        <v>0</v>
      </c>
    </row>
    <row r="379" spans="2:13" ht="18" customHeight="1">
      <c r="B379" s="6"/>
      <c r="C379" s="6"/>
      <c r="D379" s="6"/>
      <c r="E379" s="6"/>
      <c r="F379" s="6"/>
      <c r="G379" s="6"/>
      <c r="H379" s="6"/>
      <c r="I379" s="31"/>
      <c r="J379" s="31"/>
      <c r="K379" s="61" t="str">
        <f>IF(C379="","",_xlfn.XLOOKUP(C379,실!$D:$D,실!$B:$B,""))</f>
        <v/>
      </c>
      <c r="L379" s="48">
        <f>COUNTIFS(개구부!C:C, B379, 개구부!D:D, "window")</f>
        <v>0</v>
      </c>
      <c r="M379" s="48">
        <f>COUNTIFS(개구부!C:C, B379, 개구부!D:D, "&lt;&gt;window")</f>
        <v>0</v>
      </c>
    </row>
    <row r="380" spans="2:13" ht="18" customHeight="1">
      <c r="B380" s="6"/>
      <c r="C380" s="6"/>
      <c r="D380" s="6"/>
      <c r="E380" s="6"/>
      <c r="F380" s="6"/>
      <c r="G380" s="6"/>
      <c r="H380" s="6"/>
      <c r="I380" s="31"/>
      <c r="J380" s="31"/>
      <c r="K380" s="61" t="str">
        <f>IF(C380="","",_xlfn.XLOOKUP(C380,실!$D:$D,실!$B:$B,""))</f>
        <v/>
      </c>
      <c r="L380" s="48">
        <f>COUNTIFS(개구부!C:C, B380, 개구부!D:D, "window")</f>
        <v>0</v>
      </c>
      <c r="M380" s="48">
        <f>COUNTIFS(개구부!C:C, B380, 개구부!D:D, "&lt;&gt;window")</f>
        <v>0</v>
      </c>
    </row>
    <row r="381" spans="2:13" ht="18" customHeight="1">
      <c r="B381" s="6"/>
      <c r="C381" s="6"/>
      <c r="D381" s="6"/>
      <c r="E381" s="6"/>
      <c r="F381" s="6"/>
      <c r="G381" s="6"/>
      <c r="H381" s="6"/>
      <c r="I381" s="31"/>
      <c r="J381" s="31"/>
      <c r="K381" s="61" t="str">
        <f>IF(C381="","",_xlfn.XLOOKUP(C381,실!$D:$D,실!$B:$B,""))</f>
        <v/>
      </c>
      <c r="L381" s="48">
        <f>COUNTIFS(개구부!C:C, B381, 개구부!D:D, "window")</f>
        <v>0</v>
      </c>
      <c r="M381" s="48">
        <f>COUNTIFS(개구부!C:C, B381, 개구부!D:D, "&lt;&gt;window")</f>
        <v>0</v>
      </c>
    </row>
    <row r="382" spans="2:13" ht="18" customHeight="1">
      <c r="B382" s="6"/>
      <c r="C382" s="6"/>
      <c r="D382" s="6"/>
      <c r="E382" s="6"/>
      <c r="F382" s="6"/>
      <c r="G382" s="6"/>
      <c r="H382" s="6"/>
      <c r="I382" s="31"/>
      <c r="J382" s="31"/>
      <c r="K382" s="61" t="str">
        <f>IF(C382="","",_xlfn.XLOOKUP(C382,실!$D:$D,실!$B:$B,""))</f>
        <v/>
      </c>
      <c r="L382" s="48">
        <f>COUNTIFS(개구부!C:C, B382, 개구부!D:D, "window")</f>
        <v>0</v>
      </c>
      <c r="M382" s="48">
        <f>COUNTIFS(개구부!C:C, B382, 개구부!D:D, "&lt;&gt;window")</f>
        <v>0</v>
      </c>
    </row>
    <row r="383" spans="2:13" ht="18" customHeight="1">
      <c r="B383" s="6"/>
      <c r="C383" s="6"/>
      <c r="D383" s="6"/>
      <c r="E383" s="6"/>
      <c r="F383" s="6"/>
      <c r="G383" s="6"/>
      <c r="H383" s="6"/>
      <c r="I383" s="31"/>
      <c r="J383" s="31"/>
      <c r="K383" s="61" t="str">
        <f>IF(C383="","",_xlfn.XLOOKUP(C383,실!$D:$D,실!$B:$B,""))</f>
        <v/>
      </c>
      <c r="L383" s="48">
        <f>COUNTIFS(개구부!C:C, B383, 개구부!D:D, "window")</f>
        <v>0</v>
      </c>
      <c r="M383" s="48">
        <f>COUNTIFS(개구부!C:C, B383, 개구부!D:D, "&lt;&gt;window")</f>
        <v>0</v>
      </c>
    </row>
    <row r="384" spans="2:13" ht="18" customHeight="1">
      <c r="B384" s="6"/>
      <c r="C384" s="6"/>
      <c r="D384" s="6"/>
      <c r="E384" s="6"/>
      <c r="F384" s="6"/>
      <c r="G384" s="6"/>
      <c r="H384" s="6"/>
      <c r="I384" s="31"/>
      <c r="J384" s="31"/>
      <c r="K384" s="61" t="str">
        <f>IF(C384="","",_xlfn.XLOOKUP(C384,실!$D:$D,실!$B:$B,""))</f>
        <v/>
      </c>
      <c r="L384" s="48">
        <f>COUNTIFS(개구부!C:C, B384, 개구부!D:D, "window")</f>
        <v>0</v>
      </c>
      <c r="M384" s="48">
        <f>COUNTIFS(개구부!C:C, B384, 개구부!D:D, "&lt;&gt;window")</f>
        <v>0</v>
      </c>
    </row>
    <row r="385" spans="2:13" ht="18" customHeight="1">
      <c r="B385" s="6"/>
      <c r="C385" s="6"/>
      <c r="D385" s="6"/>
      <c r="E385" s="6"/>
      <c r="F385" s="6"/>
      <c r="G385" s="6"/>
      <c r="H385" s="6"/>
      <c r="I385" s="31"/>
      <c r="J385" s="31"/>
      <c r="K385" s="61" t="str">
        <f>IF(C385="","",_xlfn.XLOOKUP(C385,실!$D:$D,실!$B:$B,""))</f>
        <v/>
      </c>
      <c r="L385" s="48">
        <f>COUNTIFS(개구부!C:C, B385, 개구부!D:D, "window")</f>
        <v>0</v>
      </c>
      <c r="M385" s="48">
        <f>COUNTIFS(개구부!C:C, B385, 개구부!D:D, "&lt;&gt;window")</f>
        <v>0</v>
      </c>
    </row>
    <row r="386" spans="2:13" ht="18" customHeight="1">
      <c r="B386" s="6"/>
      <c r="C386" s="6"/>
      <c r="D386" s="6"/>
      <c r="E386" s="6"/>
      <c r="F386" s="6"/>
      <c r="G386" s="6"/>
      <c r="H386" s="6"/>
      <c r="I386" s="31"/>
      <c r="J386" s="31"/>
      <c r="K386" s="61" t="str">
        <f>IF(C386="","",_xlfn.XLOOKUP(C386,실!$D:$D,실!$B:$B,""))</f>
        <v/>
      </c>
      <c r="L386" s="48">
        <f>COUNTIFS(개구부!C:C, B386, 개구부!D:D, "window")</f>
        <v>0</v>
      </c>
      <c r="M386" s="48">
        <f>COUNTIFS(개구부!C:C, B386, 개구부!D:D, "&lt;&gt;window")</f>
        <v>0</v>
      </c>
    </row>
    <row r="387" spans="2:13" ht="18" customHeight="1">
      <c r="B387" s="6"/>
      <c r="C387" s="6"/>
      <c r="D387" s="6"/>
      <c r="E387" s="6"/>
      <c r="F387" s="6"/>
      <c r="G387" s="6"/>
      <c r="H387" s="6"/>
      <c r="I387" s="31"/>
      <c r="J387" s="31"/>
      <c r="K387" s="61" t="str">
        <f>IF(C387="","",_xlfn.XLOOKUP(C387,실!$D:$D,실!$B:$B,""))</f>
        <v/>
      </c>
      <c r="L387" s="48">
        <f>COUNTIFS(개구부!C:C, B387, 개구부!D:D, "window")</f>
        <v>0</v>
      </c>
      <c r="M387" s="48">
        <f>COUNTIFS(개구부!C:C, B387, 개구부!D:D, "&lt;&gt;window")</f>
        <v>0</v>
      </c>
    </row>
    <row r="388" spans="2:13" ht="18" customHeight="1">
      <c r="B388" s="6"/>
      <c r="C388" s="6"/>
      <c r="D388" s="6"/>
      <c r="E388" s="6"/>
      <c r="F388" s="6"/>
      <c r="G388" s="6"/>
      <c r="H388" s="6"/>
      <c r="I388" s="31"/>
      <c r="J388" s="31"/>
      <c r="K388" s="61" t="str">
        <f>IF(C388="","",_xlfn.XLOOKUP(C388,실!$D:$D,실!$B:$B,""))</f>
        <v/>
      </c>
      <c r="L388" s="48">
        <f>COUNTIFS(개구부!C:C, B388, 개구부!D:D, "window")</f>
        <v>0</v>
      </c>
      <c r="M388" s="48">
        <f>COUNTIFS(개구부!C:C, B388, 개구부!D:D, "&lt;&gt;window")</f>
        <v>0</v>
      </c>
    </row>
    <row r="389" spans="2:13" ht="18" customHeight="1">
      <c r="B389" s="6"/>
      <c r="C389" s="6"/>
      <c r="D389" s="6"/>
      <c r="E389" s="6"/>
      <c r="F389" s="6"/>
      <c r="G389" s="6"/>
      <c r="H389" s="6"/>
      <c r="I389" s="31"/>
      <c r="J389" s="31"/>
      <c r="K389" s="61" t="str">
        <f>IF(C389="","",_xlfn.XLOOKUP(C389,실!$D:$D,실!$B:$B,""))</f>
        <v/>
      </c>
      <c r="L389" s="48">
        <f>COUNTIFS(개구부!C:C, B389, 개구부!D:D, "window")</f>
        <v>0</v>
      </c>
      <c r="M389" s="48">
        <f>COUNTIFS(개구부!C:C, B389, 개구부!D:D, "&lt;&gt;window")</f>
        <v>0</v>
      </c>
    </row>
    <row r="390" spans="2:13" ht="18" customHeight="1">
      <c r="B390" s="6"/>
      <c r="C390" s="6"/>
      <c r="D390" s="6"/>
      <c r="E390" s="6"/>
      <c r="F390" s="6"/>
      <c r="G390" s="6"/>
      <c r="H390" s="6"/>
      <c r="I390" s="31"/>
      <c r="J390" s="31"/>
      <c r="K390" s="61" t="str">
        <f>IF(C390="","",_xlfn.XLOOKUP(C390,실!$D:$D,실!$B:$B,""))</f>
        <v/>
      </c>
      <c r="L390" s="48">
        <f>COUNTIFS(개구부!C:C, B390, 개구부!D:D, "window")</f>
        <v>0</v>
      </c>
      <c r="M390" s="48">
        <f>COUNTIFS(개구부!C:C, B390, 개구부!D:D, "&lt;&gt;window")</f>
        <v>0</v>
      </c>
    </row>
    <row r="391" spans="2:13" ht="18" customHeight="1">
      <c r="B391" s="6"/>
      <c r="C391" s="6"/>
      <c r="D391" s="6"/>
      <c r="E391" s="6"/>
      <c r="F391" s="6"/>
      <c r="G391" s="6"/>
      <c r="H391" s="6"/>
      <c r="I391" s="31"/>
      <c r="J391" s="31"/>
      <c r="K391" s="61" t="str">
        <f>IF(C391="","",_xlfn.XLOOKUP(C391,실!$D:$D,실!$B:$B,""))</f>
        <v/>
      </c>
      <c r="L391" s="48">
        <f>COUNTIFS(개구부!C:C, B391, 개구부!D:D, "window")</f>
        <v>0</v>
      </c>
      <c r="M391" s="48">
        <f>COUNTIFS(개구부!C:C, B391, 개구부!D:D, "&lt;&gt;window")</f>
        <v>0</v>
      </c>
    </row>
    <row r="392" spans="2:13" ht="18" customHeight="1">
      <c r="B392" s="6"/>
      <c r="C392" s="6"/>
      <c r="D392" s="6"/>
      <c r="E392" s="6"/>
      <c r="F392" s="6"/>
      <c r="G392" s="6"/>
      <c r="H392" s="6"/>
      <c r="I392" s="31"/>
      <c r="J392" s="31"/>
      <c r="K392" s="61" t="str">
        <f>IF(C392="","",_xlfn.XLOOKUP(C392,실!$D:$D,실!$B:$B,""))</f>
        <v/>
      </c>
      <c r="L392" s="48">
        <f>COUNTIFS(개구부!C:C, B392, 개구부!D:D, "window")</f>
        <v>0</v>
      </c>
      <c r="M392" s="48">
        <f>COUNTIFS(개구부!C:C, B392, 개구부!D:D, "&lt;&gt;window")</f>
        <v>0</v>
      </c>
    </row>
    <row r="393" spans="2:13" ht="18" customHeight="1">
      <c r="B393" s="6"/>
      <c r="C393" s="6"/>
      <c r="D393" s="6"/>
      <c r="E393" s="6"/>
      <c r="F393" s="6"/>
      <c r="G393" s="6"/>
      <c r="H393" s="6"/>
      <c r="I393" s="31"/>
      <c r="J393" s="31"/>
      <c r="K393" s="61" t="str">
        <f>IF(C393="","",_xlfn.XLOOKUP(C393,실!$D:$D,실!$B:$B,""))</f>
        <v/>
      </c>
      <c r="L393" s="48">
        <f>COUNTIFS(개구부!C:C, B393, 개구부!D:D, "window")</f>
        <v>0</v>
      </c>
      <c r="M393" s="48">
        <f>COUNTIFS(개구부!C:C, B393, 개구부!D:D, "&lt;&gt;window")</f>
        <v>0</v>
      </c>
    </row>
    <row r="394" spans="2:13" ht="18" customHeight="1">
      <c r="B394" s="6"/>
      <c r="C394" s="6"/>
      <c r="D394" s="6"/>
      <c r="E394" s="6"/>
      <c r="F394" s="6"/>
      <c r="G394" s="6"/>
      <c r="H394" s="6"/>
      <c r="I394" s="31"/>
      <c r="J394" s="31"/>
      <c r="K394" s="61" t="str">
        <f>IF(C394="","",_xlfn.XLOOKUP(C394,실!$D:$D,실!$B:$B,""))</f>
        <v/>
      </c>
      <c r="L394" s="48">
        <f>COUNTIFS(개구부!C:C, B394, 개구부!D:D, "window")</f>
        <v>0</v>
      </c>
      <c r="M394" s="48">
        <f>COUNTIFS(개구부!C:C, B394, 개구부!D:D, "&lt;&gt;window")</f>
        <v>0</v>
      </c>
    </row>
    <row r="395" spans="2:13" ht="18" customHeight="1">
      <c r="B395" s="6"/>
      <c r="C395" s="6"/>
      <c r="D395" s="6"/>
      <c r="E395" s="6"/>
      <c r="F395" s="6"/>
      <c r="G395" s="6"/>
      <c r="H395" s="6"/>
      <c r="I395" s="31"/>
      <c r="J395" s="31"/>
      <c r="K395" s="61" t="str">
        <f>IF(C395="","",_xlfn.XLOOKUP(C395,실!$D:$D,실!$B:$B,""))</f>
        <v/>
      </c>
      <c r="L395" s="48">
        <f>COUNTIFS(개구부!C:C, B395, 개구부!D:D, "window")</f>
        <v>0</v>
      </c>
      <c r="M395" s="48">
        <f>COUNTIFS(개구부!C:C, B395, 개구부!D:D, "&lt;&gt;window")</f>
        <v>0</v>
      </c>
    </row>
    <row r="396" spans="2:13" ht="18" customHeight="1">
      <c r="B396" s="6"/>
      <c r="C396" s="6"/>
      <c r="D396" s="6"/>
      <c r="E396" s="6"/>
      <c r="F396" s="6"/>
      <c r="G396" s="6"/>
      <c r="H396" s="6"/>
      <c r="I396" s="31"/>
      <c r="J396" s="31"/>
      <c r="K396" s="61" t="str">
        <f>IF(C396="","",_xlfn.XLOOKUP(C396,실!$D:$D,실!$B:$B,""))</f>
        <v/>
      </c>
      <c r="L396" s="48">
        <f>COUNTIFS(개구부!C:C, B396, 개구부!D:D, "window")</f>
        <v>0</v>
      </c>
      <c r="M396" s="48">
        <f>COUNTIFS(개구부!C:C, B396, 개구부!D:D, "&lt;&gt;window")</f>
        <v>0</v>
      </c>
    </row>
    <row r="397" spans="2:13" ht="18" customHeight="1">
      <c r="B397" s="6"/>
      <c r="C397" s="6"/>
      <c r="D397" s="6"/>
      <c r="E397" s="6"/>
      <c r="F397" s="6"/>
      <c r="G397" s="6"/>
      <c r="H397" s="6"/>
      <c r="I397" s="31"/>
      <c r="J397" s="31"/>
      <c r="K397" s="61" t="str">
        <f>IF(C397="","",_xlfn.XLOOKUP(C397,실!$D:$D,실!$B:$B,""))</f>
        <v/>
      </c>
      <c r="L397" s="48">
        <f>COUNTIFS(개구부!C:C, B397, 개구부!D:D, "window")</f>
        <v>0</v>
      </c>
      <c r="M397" s="48">
        <f>COUNTIFS(개구부!C:C, B397, 개구부!D:D, "&lt;&gt;window")</f>
        <v>0</v>
      </c>
    </row>
    <row r="398" spans="2:13" ht="18" customHeight="1">
      <c r="B398" s="6"/>
      <c r="C398" s="6"/>
      <c r="D398" s="6"/>
      <c r="E398" s="6"/>
      <c r="F398" s="6"/>
      <c r="G398" s="6"/>
      <c r="H398" s="6"/>
      <c r="I398" s="31"/>
      <c r="J398" s="31"/>
      <c r="K398" s="61" t="str">
        <f>IF(C398="","",_xlfn.XLOOKUP(C398,실!$D:$D,실!$B:$B,""))</f>
        <v/>
      </c>
      <c r="L398" s="48">
        <f>COUNTIFS(개구부!C:C, B398, 개구부!D:D, "window")</f>
        <v>0</v>
      </c>
      <c r="M398" s="48">
        <f>COUNTIFS(개구부!C:C, B398, 개구부!D:D, "&lt;&gt;window")</f>
        <v>0</v>
      </c>
    </row>
    <row r="399" spans="2:13" ht="18" customHeight="1">
      <c r="B399" s="6"/>
      <c r="C399" s="6"/>
      <c r="D399" s="6"/>
      <c r="E399" s="6"/>
      <c r="F399" s="6"/>
      <c r="G399" s="6"/>
      <c r="H399" s="6"/>
      <c r="I399" s="31"/>
      <c r="J399" s="31"/>
      <c r="K399" s="61" t="str">
        <f>IF(C399="","",_xlfn.XLOOKUP(C399,실!$D:$D,실!$B:$B,""))</f>
        <v/>
      </c>
      <c r="L399" s="48">
        <f>COUNTIFS(개구부!C:C, B399, 개구부!D:D, "window")</f>
        <v>0</v>
      </c>
      <c r="M399" s="48">
        <f>COUNTIFS(개구부!C:C, B399, 개구부!D:D, "&lt;&gt;window")</f>
        <v>0</v>
      </c>
    </row>
    <row r="400" spans="2:13" ht="18" customHeight="1">
      <c r="B400" s="6"/>
      <c r="C400" s="6"/>
      <c r="D400" s="6"/>
      <c r="E400" s="6"/>
      <c r="F400" s="6"/>
      <c r="G400" s="6"/>
      <c r="H400" s="6"/>
      <c r="I400" s="31"/>
      <c r="J400" s="31"/>
      <c r="K400" s="61" t="str">
        <f>IF(C400="","",_xlfn.XLOOKUP(C400,실!$D:$D,실!$B:$B,""))</f>
        <v/>
      </c>
      <c r="L400" s="48">
        <f>COUNTIFS(개구부!C:C, B400, 개구부!D:D, "window")</f>
        <v>0</v>
      </c>
      <c r="M400" s="48">
        <f>COUNTIFS(개구부!C:C, B400, 개구부!D:D, "&lt;&gt;window")</f>
        <v>0</v>
      </c>
    </row>
  </sheetData>
  <sheetProtection insertRows="0"/>
  <autoFilter ref="B2:M400" xr:uid="{00000000-0001-0000-0200-000000000000}"/>
  <phoneticPr fontId="5" type="noConversion"/>
  <conditionalFormatting sqref="G3:G1048576">
    <cfRule type="expression" dxfId="19" priority="3">
      <formula>AND(NOT(AND($D3="wall", $E3="outdoors")), NOT(AND($D3="", $E3="")))</formula>
    </cfRule>
  </conditionalFormatting>
  <conditionalFormatting sqref="H3:H1048576">
    <cfRule type="expression" dxfId="18" priority="2">
      <formula>AND($E3&lt;&gt;"zone",$E3&lt;&gt;"")</formula>
    </cfRule>
  </conditionalFormatting>
  <conditionalFormatting sqref="J3:J1048576">
    <cfRule type="expression" dxfId="17" priority="1">
      <formula>AND(NOT(AND($D3="ceiling", $E3="outdoors")), NOT(AND($D3="", $E3="")))</formula>
    </cfRule>
  </conditionalFormatting>
  <dataValidations count="16">
    <dataValidation allowBlank="1" showInputMessage="1" showErrorMessage="1" promptTitle="면_이름" prompt="입력하고자 하는 면의 이름을 사용자가 정의" sqref="B2" xr:uid="{00000000-0002-0000-0200-000000000000}"/>
    <dataValidation allowBlank="1" showInputMessage="1" showErrorMessage="1" promptTitle="면_경계조건" prompt="목록 내에서 선택함._x000a_ground: 지면과 닿음._x000a_outdoors: 외기와 접함._x000a_zone: 다른 zone과 접함._x000a_adiabatic: plenum과 접함." sqref="E2" xr:uid="{00000000-0002-0000-0200-000002000000}"/>
    <dataValidation allowBlank="1" showInputMessage="1" showErrorMessage="1" promptTitle="면_인접존이름" prompt="면_유형이 zone인 경우만 입력._x000a_맞닿은 실의 이름을 입력." sqref="H2" xr:uid="{00000000-0002-0000-0200-000003000000}"/>
    <dataValidation allowBlank="1" showInputMessage="1" showErrorMessage="1" promptTitle="면_구조체이름" prompt="구조체_면 탭에서 입력한 이름을 동일하게 입력." sqref="I2" xr:uid="{1A31D7C3-47F5-420A-AF00-2B0811516D71}"/>
    <dataValidation allowBlank="1" showInputMessage="1" showErrorMessage="1" promptTitle="면_면적" prompt="개구부 포함한 면적으로 입력" sqref="F2" xr:uid="{00000000-0002-0000-0200-000005000000}"/>
    <dataValidation type="whole" allowBlank="1" showInputMessage="1" showErrorMessage="1" sqref="G3:G1048576" xr:uid="{00000000-0002-0000-0200-000006000000}">
      <formula1>0</formula1>
      <formula2>359</formula2>
    </dataValidation>
    <dataValidation type="decimal" allowBlank="1" showInputMessage="1" showErrorMessage="1" errorTitle="쿨루프 반사율" error="0 &lt;= 쿨루프 반사율 &lt;=100 로 입력하여야 합니다." sqref="J3:J1048576" xr:uid="{00000000-0002-0000-0200-000007000000}">
      <formula1>0</formula1>
      <formula2>100</formula2>
    </dataValidation>
    <dataValidation type="list" allowBlank="1" showInputMessage="1" showErrorMessage="1" sqref="H3:H1048576 C3:C1048576" xr:uid="{00000000-0002-0000-0200-000008000000}">
      <formula1>실_이름목록</formula1>
    </dataValidation>
    <dataValidation type="decimal" operator="greaterThan" allowBlank="1" showInputMessage="1" showErrorMessage="1" errorTitle="면적" error="면적은 0초과의 값을 가져야 합니다." sqref="F3:F1048576" xr:uid="{00000000-0002-0000-0200-000009000000}">
      <formula1>0</formula1>
    </dataValidation>
    <dataValidation type="list" allowBlank="1" showInputMessage="1" showErrorMessage="1" sqref="I3:I1048576" xr:uid="{BE3AEA77-D515-480F-B282-36273A08C5C4}">
      <formula1>구조체_면_이름목록</formula1>
    </dataValidation>
    <dataValidation type="custom" allowBlank="1" showInputMessage="1" showErrorMessage="1" errorTitle="면 이름" error="면 이름이 중복되었습니다. 다른 이름을 입력하세요." sqref="B3:B1048576" xr:uid="{00000000-0002-0000-0200-00000B000000}">
      <formula1>COUNTIF($B$3:$B$400, B3)=1</formula1>
    </dataValidation>
    <dataValidation allowBlank="1" showInputMessage="1" showErrorMessage="1" promptTitle="면_실" prompt="입력한 면이 귀속된 실의 이름을 입력._x000a_실 탭의 이름과 같게 입력" sqref="C2 K2" xr:uid="{00000000-0002-0000-0200-000001000000}"/>
    <dataValidation allowBlank="1" showInputMessage="1" showErrorMessage="1" errorTitle="쿨루프 반사율" error="0 &lt;= 쿨루프 반사율 &lt;=100 로 입력하여야 합니다." sqref="K3:K1048576" xr:uid="{7D34788E-FFBB-4073-92EF-60628FC16FAB}"/>
    <dataValidation type="list" allowBlank="1" showInputMessage="1" showErrorMessage="1" sqref="Q3" xr:uid="{B6AC79B4-AC8F-4449-97DA-BC467EA7F087}">
      <formula1>"없음, 사진, 재검수 필요"</formula1>
    </dataValidation>
    <dataValidation type="list" allowBlank="1" showInputMessage="1" showErrorMessage="1" sqref="O3" xr:uid="{1877D6F5-B742-4093-9AE0-1199AAE89E66}">
      <formula1>"평면도, 입면도, 재검수 필요"</formula1>
    </dataValidation>
    <dataValidation type="list" allowBlank="1" showInputMessage="1" showErrorMessage="1" sqref="P3" xr:uid="{AA633C64-03C5-4335-BA43-718565D06A41}">
      <formula1>", 재검수 필요"</formula1>
    </dataValidation>
  </dataValidations>
  <pageMargins left="0.7" right="0.7" top="0.75" bottom="0.75" header="0.3" footer="0.3"/>
  <pageSetup paperSize="9" orientation="portrait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D2682C-8BE2-4508-97DA-9508A503F912}">
          <x14:formula1>
            <xm:f>참조!$A$2:$A$4</xm:f>
          </x14:formula1>
          <xm:sqref>D3:D1048576</xm:sqref>
        </x14:dataValidation>
        <x14:dataValidation type="list" allowBlank="1" showInputMessage="1" showErrorMessage="1" xr:uid="{4A6C4BAD-4754-48C0-B074-271BE038C141}">
          <x14:formula1>
            <xm:f>참조!$B$2:$B$5</xm:f>
          </x14:formula1>
          <xm:sqref>E3:E1048576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B1:I202"/>
  <sheetViews>
    <sheetView zoomScaleNormal="100" workbookViewId="0">
      <selection activeCell="B3" sqref="B3"/>
    </sheetView>
  </sheetViews>
  <sheetFormatPr defaultColWidth="12.5703125" defaultRowHeight="18" customHeight="1"/>
  <cols>
    <col min="1" max="1" width="1.7109375" style="17" customWidth="1"/>
    <col min="2" max="2" width="28.5703125" style="17" customWidth="1"/>
    <col min="3" max="3" width="29" style="17" customWidth="1"/>
    <col min="4" max="4" width="11.85546875" style="17" customWidth="1"/>
    <col min="5" max="5" width="15.7109375" style="17" customWidth="1"/>
    <col min="6" max="6" width="27.140625" style="17" bestFit="1" customWidth="1"/>
    <col min="7" max="7" width="15.85546875" style="17" customWidth="1"/>
    <col min="8" max="8" width="3.7109375" style="17" customWidth="1"/>
    <col min="9" max="9" width="18.7109375" style="17" bestFit="1" customWidth="1"/>
    <col min="10" max="16384" width="12.5703125" style="17"/>
  </cols>
  <sheetData>
    <row r="1" spans="2:9" ht="7.5" customHeight="1"/>
    <row r="2" spans="2:9" ht="18" customHeight="1">
      <c r="B2" s="12" t="s">
        <v>8</v>
      </c>
      <c r="C2" s="12" t="s">
        <v>41</v>
      </c>
      <c r="D2" s="12" t="s">
        <v>25</v>
      </c>
      <c r="E2" s="12" t="s">
        <v>27</v>
      </c>
      <c r="F2" s="12" t="s">
        <v>30</v>
      </c>
      <c r="G2" s="20" t="s">
        <v>42</v>
      </c>
      <c r="I2" s="67" t="s">
        <v>586</v>
      </c>
    </row>
    <row r="3" spans="2:9" ht="18" customHeight="1">
      <c r="B3" s="6"/>
      <c r="C3" s="6"/>
      <c r="D3" s="6"/>
      <c r="E3" s="6"/>
      <c r="F3" s="6"/>
      <c r="G3" s="80"/>
      <c r="I3" s="94"/>
    </row>
    <row r="4" spans="2:9" ht="18" customHeight="1">
      <c r="B4" s="6"/>
      <c r="C4" s="6"/>
      <c r="D4" s="6"/>
      <c r="E4" s="6"/>
      <c r="F4" s="6"/>
      <c r="G4" s="80"/>
    </row>
    <row r="5" spans="2:9" ht="18" customHeight="1">
      <c r="B5" s="6"/>
      <c r="C5" s="6"/>
      <c r="D5" s="6"/>
      <c r="E5" s="6"/>
      <c r="F5" s="6"/>
      <c r="G5" s="80"/>
    </row>
    <row r="6" spans="2:9" ht="18" customHeight="1">
      <c r="B6" s="6"/>
      <c r="C6" s="6"/>
      <c r="D6" s="6"/>
      <c r="E6" s="6"/>
      <c r="F6" s="6"/>
      <c r="G6" s="80"/>
    </row>
    <row r="7" spans="2:9" ht="18" customHeight="1">
      <c r="B7" s="6"/>
      <c r="C7" s="6"/>
      <c r="D7" s="6"/>
      <c r="E7" s="6"/>
      <c r="F7" s="6"/>
      <c r="G7" s="80"/>
    </row>
    <row r="8" spans="2:9" ht="18" customHeight="1">
      <c r="B8" s="6"/>
      <c r="C8" s="6"/>
      <c r="D8" s="6"/>
      <c r="E8" s="6"/>
      <c r="F8" s="6"/>
      <c r="G8" s="80"/>
    </row>
    <row r="9" spans="2:9" ht="18" customHeight="1">
      <c r="B9" s="6"/>
      <c r="C9" s="6"/>
      <c r="D9" s="6"/>
      <c r="E9" s="6"/>
      <c r="F9" s="6"/>
      <c r="G9" s="80"/>
    </row>
    <row r="10" spans="2:9" ht="18" customHeight="1">
      <c r="B10" s="6"/>
      <c r="C10" s="6"/>
      <c r="D10" s="6"/>
      <c r="E10" s="6"/>
      <c r="F10" s="6"/>
      <c r="G10" s="80"/>
    </row>
    <row r="11" spans="2:9" ht="18" customHeight="1">
      <c r="B11" s="6"/>
      <c r="C11" s="6"/>
      <c r="D11" s="6"/>
      <c r="E11" s="6"/>
      <c r="F11" s="6"/>
      <c r="G11" s="80"/>
    </row>
    <row r="12" spans="2:9" ht="18" customHeight="1">
      <c r="B12" s="6"/>
      <c r="C12" s="6"/>
      <c r="D12" s="6"/>
      <c r="E12" s="6"/>
      <c r="F12" s="6"/>
      <c r="G12" s="80"/>
    </row>
    <row r="13" spans="2:9" ht="18" customHeight="1">
      <c r="B13" s="6"/>
      <c r="C13" s="6"/>
      <c r="D13" s="6"/>
      <c r="E13" s="6"/>
      <c r="F13" s="6"/>
      <c r="G13" s="80"/>
    </row>
    <row r="14" spans="2:9" ht="18" customHeight="1">
      <c r="B14" s="6"/>
      <c r="C14" s="6"/>
      <c r="D14" s="6"/>
      <c r="E14" s="6"/>
      <c r="F14" s="6"/>
      <c r="G14" s="80"/>
    </row>
    <row r="15" spans="2:9" ht="18" customHeight="1">
      <c r="B15" s="6"/>
      <c r="C15" s="6"/>
      <c r="D15" s="6"/>
      <c r="E15" s="6"/>
      <c r="F15" s="6"/>
      <c r="G15" s="80"/>
    </row>
    <row r="16" spans="2:9" ht="18" customHeight="1">
      <c r="B16" s="6"/>
      <c r="C16" s="6"/>
      <c r="D16" s="6"/>
      <c r="E16" s="6"/>
      <c r="F16" s="6"/>
      <c r="G16" s="80"/>
    </row>
    <row r="17" spans="2:7" ht="18" customHeight="1">
      <c r="B17" s="6"/>
      <c r="C17" s="6"/>
      <c r="D17" s="6"/>
      <c r="E17" s="6"/>
      <c r="F17" s="6"/>
      <c r="G17" s="80"/>
    </row>
    <row r="18" spans="2:7" ht="18" customHeight="1">
      <c r="B18" s="6"/>
      <c r="C18" s="6"/>
      <c r="D18" s="6"/>
      <c r="E18" s="6"/>
      <c r="F18" s="6"/>
      <c r="G18" s="80"/>
    </row>
    <row r="19" spans="2:7" ht="18" customHeight="1">
      <c r="B19" s="6"/>
      <c r="C19" s="6"/>
      <c r="D19" s="6"/>
      <c r="E19" s="6"/>
      <c r="F19" s="6"/>
      <c r="G19" s="80"/>
    </row>
    <row r="20" spans="2:7" ht="18" customHeight="1">
      <c r="B20" s="6"/>
      <c r="C20" s="6"/>
      <c r="D20" s="6"/>
      <c r="E20" s="6"/>
      <c r="F20" s="6"/>
      <c r="G20" s="80"/>
    </row>
    <row r="21" spans="2:7" ht="18" customHeight="1">
      <c r="B21" s="6"/>
      <c r="C21" s="6"/>
      <c r="D21" s="6"/>
      <c r="E21" s="6"/>
      <c r="F21" s="6"/>
      <c r="G21" s="80"/>
    </row>
    <row r="22" spans="2:7" ht="18" customHeight="1">
      <c r="B22" s="6"/>
      <c r="C22" s="6"/>
      <c r="D22" s="6"/>
      <c r="E22" s="6"/>
      <c r="F22" s="6"/>
      <c r="G22" s="80"/>
    </row>
    <row r="23" spans="2:7" ht="18" customHeight="1">
      <c r="B23" s="6"/>
      <c r="C23" s="6"/>
      <c r="D23" s="6"/>
      <c r="E23" s="6"/>
      <c r="F23" s="6"/>
      <c r="G23" s="80"/>
    </row>
    <row r="24" spans="2:7" ht="18" customHeight="1">
      <c r="B24" s="6"/>
      <c r="C24" s="6"/>
      <c r="D24" s="6"/>
      <c r="E24" s="6"/>
      <c r="F24" s="6"/>
      <c r="G24" s="80"/>
    </row>
    <row r="25" spans="2:7" ht="18" customHeight="1">
      <c r="B25" s="6"/>
      <c r="C25" s="6"/>
      <c r="D25" s="6"/>
      <c r="E25" s="6"/>
      <c r="F25" s="6"/>
      <c r="G25" s="80"/>
    </row>
    <row r="26" spans="2:7" ht="18" customHeight="1">
      <c r="B26" s="6"/>
      <c r="C26" s="6"/>
      <c r="D26" s="6"/>
      <c r="E26" s="6"/>
      <c r="F26" s="6"/>
      <c r="G26" s="80"/>
    </row>
    <row r="27" spans="2:7" ht="18" customHeight="1">
      <c r="B27" s="6"/>
      <c r="C27" s="6"/>
      <c r="D27" s="6"/>
      <c r="E27" s="6"/>
      <c r="F27" s="6"/>
      <c r="G27" s="80"/>
    </row>
    <row r="28" spans="2:7" ht="18" customHeight="1">
      <c r="B28" s="6"/>
      <c r="C28" s="6"/>
      <c r="D28" s="6"/>
      <c r="E28" s="6"/>
      <c r="F28" s="6"/>
      <c r="G28" s="80"/>
    </row>
    <row r="29" spans="2:7" ht="18" customHeight="1">
      <c r="B29" s="6"/>
      <c r="C29" s="6"/>
      <c r="D29" s="6"/>
      <c r="E29" s="6"/>
      <c r="F29" s="6"/>
      <c r="G29" s="80"/>
    </row>
    <row r="30" spans="2:7" ht="18" customHeight="1">
      <c r="B30" s="6"/>
      <c r="C30" s="6"/>
      <c r="D30" s="6"/>
      <c r="E30" s="6"/>
      <c r="F30" s="6"/>
      <c r="G30" s="80"/>
    </row>
    <row r="31" spans="2:7" ht="18" customHeight="1">
      <c r="B31" s="6"/>
      <c r="C31" s="6"/>
      <c r="D31" s="6"/>
      <c r="E31" s="6"/>
      <c r="F31" s="6"/>
      <c r="G31" s="80"/>
    </row>
    <row r="32" spans="2:7" ht="18" customHeight="1">
      <c r="B32" s="6"/>
      <c r="C32" s="6"/>
      <c r="D32" s="6"/>
      <c r="E32" s="6"/>
      <c r="F32" s="6"/>
      <c r="G32" s="80"/>
    </row>
    <row r="33" spans="2:7" ht="18" customHeight="1">
      <c r="B33" s="6"/>
      <c r="C33" s="6"/>
      <c r="D33" s="6"/>
      <c r="E33" s="6"/>
      <c r="F33" s="6"/>
      <c r="G33" s="80"/>
    </row>
    <row r="34" spans="2:7" ht="18" customHeight="1">
      <c r="B34" s="6"/>
      <c r="C34" s="6"/>
      <c r="D34" s="6"/>
      <c r="E34" s="6"/>
      <c r="F34" s="6"/>
      <c r="G34" s="80"/>
    </row>
    <row r="35" spans="2:7" ht="18" customHeight="1">
      <c r="B35" s="6"/>
      <c r="C35" s="6"/>
      <c r="D35" s="6"/>
      <c r="E35" s="6"/>
      <c r="F35" s="6"/>
      <c r="G35" s="80"/>
    </row>
    <row r="36" spans="2:7" ht="18" customHeight="1">
      <c r="B36" s="6"/>
      <c r="C36" s="6"/>
      <c r="D36" s="6"/>
      <c r="E36" s="6"/>
      <c r="F36" s="6"/>
      <c r="G36" s="80"/>
    </row>
    <row r="37" spans="2:7" ht="18" customHeight="1">
      <c r="B37" s="6"/>
      <c r="C37" s="6"/>
      <c r="D37" s="6"/>
      <c r="E37" s="6"/>
      <c r="F37" s="6"/>
      <c r="G37" s="80"/>
    </row>
    <row r="38" spans="2:7" ht="18" customHeight="1">
      <c r="B38" s="6"/>
      <c r="C38" s="6"/>
      <c r="D38" s="6"/>
      <c r="E38" s="6"/>
      <c r="F38" s="6"/>
      <c r="G38" s="80"/>
    </row>
    <row r="39" spans="2:7" ht="18" customHeight="1">
      <c r="B39" s="6"/>
      <c r="C39" s="6"/>
      <c r="D39" s="6"/>
      <c r="E39" s="6"/>
      <c r="F39" s="6"/>
      <c r="G39" s="80"/>
    </row>
    <row r="40" spans="2:7" ht="18" customHeight="1">
      <c r="B40" s="6"/>
      <c r="C40" s="6"/>
      <c r="D40" s="6"/>
      <c r="E40" s="6"/>
      <c r="F40" s="6"/>
      <c r="G40" s="80"/>
    </row>
    <row r="41" spans="2:7" ht="18" customHeight="1">
      <c r="B41" s="6"/>
      <c r="C41" s="6"/>
      <c r="D41" s="6"/>
      <c r="E41" s="6"/>
      <c r="F41" s="6"/>
      <c r="G41" s="80"/>
    </row>
    <row r="42" spans="2:7" ht="18" customHeight="1">
      <c r="B42" s="6"/>
      <c r="C42" s="6"/>
      <c r="D42" s="6"/>
      <c r="E42" s="6"/>
      <c r="F42" s="6"/>
      <c r="G42" s="80"/>
    </row>
    <row r="43" spans="2:7" ht="18" customHeight="1">
      <c r="B43" s="6"/>
      <c r="C43" s="6"/>
      <c r="D43" s="6"/>
      <c r="E43" s="6"/>
      <c r="F43" s="6"/>
      <c r="G43" s="80"/>
    </row>
    <row r="44" spans="2:7" ht="18" customHeight="1">
      <c r="B44" s="6"/>
      <c r="C44" s="6"/>
      <c r="D44" s="6"/>
      <c r="E44" s="6"/>
      <c r="F44" s="6"/>
      <c r="G44" s="80"/>
    </row>
    <row r="45" spans="2:7" ht="18" customHeight="1">
      <c r="B45" s="6"/>
      <c r="C45" s="6"/>
      <c r="D45" s="6"/>
      <c r="E45" s="6"/>
      <c r="F45" s="6"/>
      <c r="G45" s="80"/>
    </row>
    <row r="46" spans="2:7" ht="18" customHeight="1">
      <c r="B46" s="6"/>
      <c r="C46" s="6"/>
      <c r="D46" s="6"/>
      <c r="E46" s="6"/>
      <c r="F46" s="6"/>
      <c r="G46" s="80"/>
    </row>
    <row r="47" spans="2:7" ht="18" customHeight="1">
      <c r="B47" s="6"/>
      <c r="C47" s="6"/>
      <c r="D47" s="6"/>
      <c r="E47" s="6"/>
      <c r="F47" s="6"/>
      <c r="G47" s="80"/>
    </row>
    <row r="48" spans="2:7" ht="18" customHeight="1">
      <c r="B48" s="6"/>
      <c r="C48" s="6"/>
      <c r="D48" s="6"/>
      <c r="E48" s="6"/>
      <c r="F48" s="6"/>
      <c r="G48" s="80"/>
    </row>
    <row r="49" spans="2:7" ht="18" customHeight="1">
      <c r="B49" s="6"/>
      <c r="C49" s="6"/>
      <c r="D49" s="6"/>
      <c r="E49" s="6"/>
      <c r="F49" s="6"/>
      <c r="G49" s="80"/>
    </row>
    <row r="50" spans="2:7" ht="18" customHeight="1">
      <c r="B50" s="6"/>
      <c r="C50" s="6"/>
      <c r="D50" s="6"/>
      <c r="E50" s="6"/>
      <c r="F50" s="6"/>
      <c r="G50" s="80"/>
    </row>
    <row r="51" spans="2:7" ht="18" customHeight="1">
      <c r="B51" s="6"/>
      <c r="C51" s="6"/>
      <c r="D51" s="6"/>
      <c r="E51" s="6"/>
      <c r="F51" s="6"/>
      <c r="G51" s="80"/>
    </row>
    <row r="52" spans="2:7" ht="18" customHeight="1">
      <c r="B52" s="6"/>
      <c r="C52" s="6"/>
      <c r="D52" s="6"/>
      <c r="E52" s="6"/>
      <c r="F52" s="6"/>
      <c r="G52" s="80"/>
    </row>
    <row r="53" spans="2:7" ht="18" customHeight="1">
      <c r="B53" s="6"/>
      <c r="C53" s="6"/>
      <c r="D53" s="6"/>
      <c r="E53" s="6"/>
      <c r="F53" s="6"/>
      <c r="G53" s="80"/>
    </row>
    <row r="54" spans="2:7" ht="18" customHeight="1">
      <c r="B54" s="6"/>
      <c r="C54" s="6"/>
      <c r="D54" s="6"/>
      <c r="E54" s="6"/>
      <c r="F54" s="6"/>
      <c r="G54" s="80"/>
    </row>
    <row r="55" spans="2:7" ht="18" customHeight="1">
      <c r="B55" s="6"/>
      <c r="C55" s="6"/>
      <c r="D55" s="6"/>
      <c r="E55" s="6"/>
      <c r="F55" s="6"/>
      <c r="G55" s="80"/>
    </row>
    <row r="56" spans="2:7" ht="18" customHeight="1">
      <c r="B56" s="6"/>
      <c r="C56" s="6"/>
      <c r="D56" s="6"/>
      <c r="E56" s="6"/>
      <c r="F56" s="6"/>
      <c r="G56" s="80"/>
    </row>
    <row r="57" spans="2:7" ht="18" customHeight="1">
      <c r="B57" s="6"/>
      <c r="C57" s="6"/>
      <c r="D57" s="6"/>
      <c r="E57" s="6"/>
      <c r="F57" s="6"/>
      <c r="G57" s="80"/>
    </row>
    <row r="58" spans="2:7" ht="18" customHeight="1">
      <c r="B58" s="6"/>
      <c r="C58" s="6"/>
      <c r="D58" s="6"/>
      <c r="E58" s="6"/>
      <c r="F58" s="6"/>
      <c r="G58" s="80"/>
    </row>
    <row r="59" spans="2:7" ht="18" customHeight="1">
      <c r="B59" s="6"/>
      <c r="C59" s="6"/>
      <c r="D59" s="6"/>
      <c r="E59" s="6"/>
      <c r="F59" s="6"/>
      <c r="G59" s="80"/>
    </row>
    <row r="60" spans="2:7" ht="18" customHeight="1">
      <c r="B60" s="6"/>
      <c r="C60" s="6"/>
      <c r="D60" s="6"/>
      <c r="E60" s="6"/>
      <c r="F60" s="6"/>
      <c r="G60" s="80"/>
    </row>
    <row r="61" spans="2:7" ht="18" customHeight="1">
      <c r="B61" s="6"/>
      <c r="C61" s="6"/>
      <c r="D61" s="6"/>
      <c r="E61" s="6"/>
      <c r="F61" s="6"/>
      <c r="G61" s="80"/>
    </row>
    <row r="62" spans="2:7" ht="18" customHeight="1">
      <c r="B62" s="6"/>
      <c r="C62" s="6"/>
      <c r="D62" s="6"/>
      <c r="E62" s="6"/>
      <c r="F62" s="6"/>
      <c r="G62" s="80"/>
    </row>
    <row r="63" spans="2:7" ht="18" customHeight="1">
      <c r="B63" s="6"/>
      <c r="C63" s="6"/>
      <c r="D63" s="6"/>
      <c r="E63" s="6"/>
      <c r="F63" s="6"/>
      <c r="G63" s="80"/>
    </row>
    <row r="64" spans="2:7" ht="18" customHeight="1">
      <c r="B64" s="6"/>
      <c r="C64" s="6"/>
      <c r="D64" s="6"/>
      <c r="E64" s="6"/>
      <c r="F64" s="6"/>
      <c r="G64" s="80"/>
    </row>
    <row r="65" spans="2:7" ht="18" customHeight="1">
      <c r="B65" s="6"/>
      <c r="C65" s="6"/>
      <c r="D65" s="6"/>
      <c r="E65" s="6"/>
      <c r="F65" s="6"/>
      <c r="G65" s="80"/>
    </row>
    <row r="66" spans="2:7" ht="18" customHeight="1">
      <c r="B66" s="6"/>
      <c r="C66" s="6"/>
      <c r="D66" s="6"/>
      <c r="E66" s="6"/>
      <c r="F66" s="6"/>
      <c r="G66" s="80"/>
    </row>
    <row r="67" spans="2:7" ht="18" customHeight="1">
      <c r="B67" s="6"/>
      <c r="C67" s="6"/>
      <c r="D67" s="6"/>
      <c r="E67" s="6"/>
      <c r="F67" s="6"/>
      <c r="G67" s="80"/>
    </row>
    <row r="68" spans="2:7" ht="18" customHeight="1">
      <c r="B68" s="6"/>
      <c r="C68" s="6"/>
      <c r="D68" s="6"/>
      <c r="E68" s="6"/>
      <c r="F68" s="6"/>
      <c r="G68" s="80"/>
    </row>
    <row r="69" spans="2:7" ht="18" customHeight="1">
      <c r="B69" s="6"/>
      <c r="C69" s="6"/>
      <c r="D69" s="6"/>
      <c r="E69" s="6"/>
      <c r="F69" s="6"/>
      <c r="G69" s="80"/>
    </row>
    <row r="70" spans="2:7" ht="18" customHeight="1">
      <c r="B70" s="6"/>
      <c r="C70" s="6"/>
      <c r="D70" s="6"/>
      <c r="E70" s="6"/>
      <c r="F70" s="6"/>
      <c r="G70" s="80"/>
    </row>
    <row r="71" spans="2:7" ht="18" customHeight="1">
      <c r="B71" s="6"/>
      <c r="C71" s="6"/>
      <c r="D71" s="6"/>
      <c r="E71" s="6"/>
      <c r="F71" s="6"/>
      <c r="G71" s="80"/>
    </row>
    <row r="72" spans="2:7" ht="18" customHeight="1">
      <c r="B72" s="6"/>
      <c r="C72" s="6"/>
      <c r="D72" s="6"/>
      <c r="E72" s="6"/>
      <c r="F72" s="6"/>
      <c r="G72" s="80"/>
    </row>
    <row r="73" spans="2:7" ht="18" customHeight="1">
      <c r="B73" s="6"/>
      <c r="C73" s="6"/>
      <c r="D73" s="6"/>
      <c r="E73" s="6"/>
      <c r="F73" s="6"/>
      <c r="G73" s="80"/>
    </row>
    <row r="74" spans="2:7" ht="18" customHeight="1">
      <c r="B74" s="6"/>
      <c r="C74" s="6"/>
      <c r="D74" s="6"/>
      <c r="E74" s="6"/>
      <c r="F74" s="6"/>
      <c r="G74" s="80"/>
    </row>
    <row r="75" spans="2:7" ht="18" customHeight="1">
      <c r="B75" s="6"/>
      <c r="C75" s="6"/>
      <c r="D75" s="6"/>
      <c r="E75" s="6"/>
      <c r="F75" s="6"/>
      <c r="G75" s="80"/>
    </row>
    <row r="76" spans="2:7" ht="18" customHeight="1">
      <c r="B76" s="6"/>
      <c r="C76" s="6"/>
      <c r="D76" s="6"/>
      <c r="E76" s="6"/>
      <c r="F76" s="6"/>
      <c r="G76" s="80"/>
    </row>
    <row r="77" spans="2:7" ht="18" customHeight="1">
      <c r="B77" s="6"/>
      <c r="C77" s="6"/>
      <c r="D77" s="6"/>
      <c r="E77" s="6"/>
      <c r="F77" s="6"/>
      <c r="G77" s="80"/>
    </row>
    <row r="78" spans="2:7" ht="18" customHeight="1">
      <c r="B78" s="6"/>
      <c r="C78" s="6"/>
      <c r="D78" s="6"/>
      <c r="E78" s="6"/>
      <c r="F78" s="6"/>
      <c r="G78" s="80"/>
    </row>
    <row r="79" spans="2:7" ht="18" customHeight="1">
      <c r="B79" s="6"/>
      <c r="C79" s="6"/>
      <c r="D79" s="6"/>
      <c r="E79" s="6"/>
      <c r="F79" s="6"/>
      <c r="G79" s="80"/>
    </row>
    <row r="80" spans="2:7" ht="18" customHeight="1">
      <c r="B80" s="6"/>
      <c r="C80" s="6"/>
      <c r="D80" s="6"/>
      <c r="E80" s="6"/>
      <c r="F80" s="6"/>
      <c r="G80" s="80"/>
    </row>
    <row r="81" spans="2:7" ht="18" customHeight="1">
      <c r="B81" s="6"/>
      <c r="C81" s="6"/>
      <c r="D81" s="6"/>
      <c r="E81" s="6"/>
      <c r="F81" s="6"/>
      <c r="G81" s="80"/>
    </row>
    <row r="82" spans="2:7" ht="18" customHeight="1">
      <c r="B82" s="6"/>
      <c r="C82" s="6"/>
      <c r="D82" s="6"/>
      <c r="E82" s="6"/>
      <c r="F82" s="6"/>
      <c r="G82" s="80"/>
    </row>
    <row r="83" spans="2:7" ht="18" customHeight="1">
      <c r="B83" s="6"/>
      <c r="C83" s="6"/>
      <c r="D83" s="6"/>
      <c r="E83" s="6"/>
      <c r="F83" s="6"/>
      <c r="G83" s="80"/>
    </row>
    <row r="84" spans="2:7" ht="18" customHeight="1">
      <c r="B84" s="6"/>
      <c r="C84" s="6"/>
      <c r="D84" s="6"/>
      <c r="E84" s="6"/>
      <c r="F84" s="6"/>
      <c r="G84" s="80"/>
    </row>
    <row r="85" spans="2:7" ht="18" customHeight="1">
      <c r="B85" s="6"/>
      <c r="C85" s="6"/>
      <c r="D85" s="6"/>
      <c r="E85" s="6"/>
      <c r="F85" s="6"/>
      <c r="G85" s="80"/>
    </row>
    <row r="86" spans="2:7" ht="18" customHeight="1">
      <c r="B86" s="6"/>
      <c r="C86" s="6"/>
      <c r="D86" s="6"/>
      <c r="E86" s="6"/>
      <c r="F86" s="6"/>
      <c r="G86" s="80"/>
    </row>
    <row r="87" spans="2:7" ht="18" customHeight="1">
      <c r="B87" s="6"/>
      <c r="C87" s="6"/>
      <c r="D87" s="6"/>
      <c r="E87" s="6"/>
      <c r="F87" s="6"/>
      <c r="G87" s="80"/>
    </row>
    <row r="88" spans="2:7" ht="18" customHeight="1">
      <c r="B88" s="6"/>
      <c r="C88" s="6"/>
      <c r="D88" s="6"/>
      <c r="E88" s="6"/>
      <c r="F88" s="6"/>
      <c r="G88" s="80"/>
    </row>
    <row r="89" spans="2:7" ht="18" customHeight="1">
      <c r="B89" s="6"/>
      <c r="C89" s="6"/>
      <c r="D89" s="6"/>
      <c r="E89" s="6"/>
      <c r="F89" s="6"/>
      <c r="G89" s="80"/>
    </row>
    <row r="90" spans="2:7" ht="18" customHeight="1">
      <c r="B90" s="6"/>
      <c r="C90" s="6"/>
      <c r="D90" s="6"/>
      <c r="E90" s="6"/>
      <c r="F90" s="6"/>
      <c r="G90" s="80"/>
    </row>
    <row r="91" spans="2:7" ht="18" customHeight="1">
      <c r="B91" s="6"/>
      <c r="C91" s="6"/>
      <c r="D91" s="6"/>
      <c r="E91" s="6"/>
      <c r="F91" s="6"/>
      <c r="G91" s="80"/>
    </row>
    <row r="92" spans="2:7" ht="18" customHeight="1">
      <c r="B92" s="6"/>
      <c r="C92" s="6"/>
      <c r="D92" s="6"/>
      <c r="E92" s="6"/>
      <c r="F92" s="6"/>
      <c r="G92" s="80"/>
    </row>
    <row r="93" spans="2:7" ht="18" customHeight="1">
      <c r="B93" s="6"/>
      <c r="C93" s="6"/>
      <c r="D93" s="6"/>
      <c r="E93" s="6"/>
      <c r="F93" s="6"/>
      <c r="G93" s="80"/>
    </row>
    <row r="94" spans="2:7" ht="18" customHeight="1">
      <c r="B94" s="6"/>
      <c r="C94" s="6"/>
      <c r="D94" s="6"/>
      <c r="E94" s="6"/>
      <c r="F94" s="6"/>
      <c r="G94" s="80"/>
    </row>
    <row r="95" spans="2:7" ht="18" customHeight="1">
      <c r="B95" s="6"/>
      <c r="C95" s="6"/>
      <c r="D95" s="6"/>
      <c r="E95" s="6"/>
      <c r="F95" s="6"/>
      <c r="G95" s="80"/>
    </row>
    <row r="96" spans="2:7" ht="18" customHeight="1">
      <c r="B96" s="6"/>
      <c r="C96" s="6"/>
      <c r="D96" s="6"/>
      <c r="E96" s="6"/>
      <c r="F96" s="6"/>
      <c r="G96" s="80"/>
    </row>
    <row r="97" spans="2:7" ht="18" customHeight="1">
      <c r="B97" s="6"/>
      <c r="C97" s="6"/>
      <c r="D97" s="6"/>
      <c r="E97" s="6"/>
      <c r="F97" s="6"/>
      <c r="G97" s="80"/>
    </row>
    <row r="98" spans="2:7" ht="18" customHeight="1">
      <c r="B98" s="6"/>
      <c r="C98" s="6"/>
      <c r="D98" s="6"/>
      <c r="E98" s="6"/>
      <c r="F98" s="6"/>
      <c r="G98" s="80"/>
    </row>
    <row r="99" spans="2:7" ht="18" customHeight="1">
      <c r="B99" s="6"/>
      <c r="C99" s="6"/>
      <c r="D99" s="6"/>
      <c r="E99" s="6"/>
      <c r="F99" s="6"/>
      <c r="G99" s="80"/>
    </row>
    <row r="100" spans="2:7" ht="18" customHeight="1">
      <c r="B100" s="6"/>
      <c r="C100" s="6"/>
      <c r="D100" s="6"/>
      <c r="E100" s="6"/>
      <c r="F100" s="6"/>
      <c r="G100" s="80"/>
    </row>
    <row r="101" spans="2:7" ht="18" customHeight="1">
      <c r="B101" s="6"/>
      <c r="C101" s="6"/>
      <c r="D101" s="6"/>
      <c r="E101" s="6"/>
      <c r="F101" s="6"/>
      <c r="G101" s="80"/>
    </row>
    <row r="102" spans="2:7" ht="18" customHeight="1">
      <c r="B102" s="6"/>
      <c r="C102" s="6"/>
      <c r="D102" s="6"/>
      <c r="E102" s="6"/>
      <c r="F102" s="6"/>
      <c r="G102" s="80"/>
    </row>
    <row r="103" spans="2:7" ht="18" customHeight="1">
      <c r="B103" s="6"/>
      <c r="C103" s="6"/>
      <c r="D103" s="6"/>
      <c r="E103" s="6"/>
      <c r="F103" s="6"/>
      <c r="G103" s="80"/>
    </row>
    <row r="104" spans="2:7" ht="18" customHeight="1">
      <c r="B104" s="6"/>
      <c r="C104" s="6"/>
      <c r="D104" s="6"/>
      <c r="E104" s="6"/>
      <c r="F104" s="6"/>
      <c r="G104" s="80"/>
    </row>
    <row r="105" spans="2:7" ht="18" customHeight="1">
      <c r="B105" s="6"/>
      <c r="C105" s="6"/>
      <c r="D105" s="6"/>
      <c r="E105" s="6"/>
      <c r="F105" s="6"/>
      <c r="G105" s="80"/>
    </row>
    <row r="106" spans="2:7" ht="18" customHeight="1">
      <c r="B106" s="6"/>
      <c r="C106" s="6"/>
      <c r="D106" s="6"/>
      <c r="E106" s="6"/>
      <c r="F106" s="6"/>
      <c r="G106" s="80"/>
    </row>
    <row r="107" spans="2:7" ht="18" customHeight="1">
      <c r="B107" s="6"/>
      <c r="C107" s="6"/>
      <c r="D107" s="6"/>
      <c r="E107" s="6"/>
      <c r="F107" s="6"/>
      <c r="G107" s="80"/>
    </row>
    <row r="108" spans="2:7" ht="18" customHeight="1">
      <c r="B108" s="6"/>
      <c r="C108" s="6"/>
      <c r="D108" s="6"/>
      <c r="E108" s="6"/>
      <c r="F108" s="6"/>
      <c r="G108" s="80"/>
    </row>
    <row r="109" spans="2:7" ht="18" customHeight="1">
      <c r="B109" s="6"/>
      <c r="C109" s="6"/>
      <c r="D109" s="6"/>
      <c r="E109" s="6"/>
      <c r="F109" s="6"/>
      <c r="G109" s="80"/>
    </row>
    <row r="110" spans="2:7" ht="18" customHeight="1">
      <c r="B110" s="6"/>
      <c r="C110" s="6"/>
      <c r="D110" s="6"/>
      <c r="E110" s="6"/>
      <c r="F110" s="6"/>
      <c r="G110" s="80"/>
    </row>
    <row r="111" spans="2:7" ht="18" customHeight="1">
      <c r="B111" s="6"/>
      <c r="C111" s="6"/>
      <c r="D111" s="6"/>
      <c r="E111" s="6"/>
      <c r="F111" s="6"/>
      <c r="G111" s="80"/>
    </row>
    <row r="112" spans="2:7" ht="18" customHeight="1">
      <c r="B112" s="6"/>
      <c r="C112" s="6"/>
      <c r="D112" s="6"/>
      <c r="E112" s="6"/>
      <c r="F112" s="6"/>
      <c r="G112" s="80"/>
    </row>
    <row r="113" spans="2:7" ht="18" customHeight="1">
      <c r="B113" s="6"/>
      <c r="C113" s="6"/>
      <c r="D113" s="6"/>
      <c r="E113" s="6"/>
      <c r="F113" s="6"/>
      <c r="G113" s="80"/>
    </row>
    <row r="114" spans="2:7" ht="18" customHeight="1">
      <c r="B114" s="6"/>
      <c r="C114" s="6"/>
      <c r="D114" s="6"/>
      <c r="E114" s="6"/>
      <c r="F114" s="6"/>
      <c r="G114" s="80"/>
    </row>
    <row r="115" spans="2:7" ht="18" customHeight="1">
      <c r="B115" s="6"/>
      <c r="C115" s="6"/>
      <c r="D115" s="6"/>
      <c r="E115" s="6"/>
      <c r="F115" s="6"/>
      <c r="G115" s="80"/>
    </row>
    <row r="116" spans="2:7" ht="18" customHeight="1">
      <c r="B116" s="6"/>
      <c r="C116" s="6"/>
      <c r="D116" s="6"/>
      <c r="E116" s="6"/>
      <c r="F116" s="6"/>
      <c r="G116" s="80"/>
    </row>
    <row r="117" spans="2:7" ht="18" customHeight="1">
      <c r="B117" s="6"/>
      <c r="C117" s="6"/>
      <c r="D117" s="6"/>
      <c r="E117" s="6"/>
      <c r="F117" s="6"/>
      <c r="G117" s="80"/>
    </row>
    <row r="118" spans="2:7" ht="18" customHeight="1">
      <c r="B118" s="6"/>
      <c r="C118" s="6"/>
      <c r="D118" s="6"/>
      <c r="E118" s="6"/>
      <c r="F118" s="6"/>
      <c r="G118" s="80"/>
    </row>
    <row r="119" spans="2:7" ht="18" customHeight="1">
      <c r="B119" s="6"/>
      <c r="C119" s="6"/>
      <c r="D119" s="6"/>
      <c r="E119" s="6"/>
      <c r="F119" s="6"/>
      <c r="G119" s="80"/>
    </row>
    <row r="120" spans="2:7" ht="18" customHeight="1">
      <c r="B120" s="6"/>
      <c r="C120" s="6"/>
      <c r="D120" s="6"/>
      <c r="E120" s="6"/>
      <c r="F120" s="6"/>
      <c r="G120" s="80"/>
    </row>
    <row r="121" spans="2:7" ht="18" customHeight="1">
      <c r="B121" s="6"/>
      <c r="C121" s="6"/>
      <c r="D121" s="6"/>
      <c r="E121" s="6"/>
      <c r="F121" s="6"/>
      <c r="G121" s="80"/>
    </row>
    <row r="122" spans="2:7" ht="18" customHeight="1">
      <c r="B122" s="6"/>
      <c r="C122" s="6"/>
      <c r="D122" s="6"/>
      <c r="E122" s="6"/>
      <c r="F122" s="6"/>
      <c r="G122" s="80"/>
    </row>
    <row r="123" spans="2:7" ht="18" customHeight="1">
      <c r="B123" s="6"/>
      <c r="C123" s="6"/>
      <c r="D123" s="6"/>
      <c r="E123" s="6"/>
      <c r="F123" s="6"/>
      <c r="G123" s="80"/>
    </row>
    <row r="124" spans="2:7" ht="18" customHeight="1">
      <c r="B124" s="6"/>
      <c r="C124" s="6"/>
      <c r="D124" s="6"/>
      <c r="E124" s="6"/>
      <c r="F124" s="6"/>
      <c r="G124" s="80"/>
    </row>
    <row r="125" spans="2:7" ht="18" customHeight="1">
      <c r="B125" s="6"/>
      <c r="C125" s="6"/>
      <c r="D125" s="6"/>
      <c r="E125" s="6"/>
      <c r="F125" s="6"/>
      <c r="G125" s="80"/>
    </row>
    <row r="126" spans="2:7" ht="18" customHeight="1">
      <c r="B126" s="6"/>
      <c r="C126" s="6"/>
      <c r="D126" s="6"/>
      <c r="E126" s="6"/>
      <c r="F126" s="6"/>
      <c r="G126" s="80"/>
    </row>
    <row r="127" spans="2:7" ht="18" customHeight="1">
      <c r="B127" s="6"/>
      <c r="C127" s="6"/>
      <c r="D127" s="6"/>
      <c r="E127" s="6"/>
      <c r="F127" s="6"/>
      <c r="G127" s="80"/>
    </row>
    <row r="128" spans="2:7" ht="18" customHeight="1">
      <c r="B128" s="6"/>
      <c r="C128" s="6"/>
      <c r="D128" s="6"/>
      <c r="E128" s="6"/>
      <c r="F128" s="6"/>
      <c r="G128" s="80"/>
    </row>
    <row r="129" spans="2:7" ht="18" customHeight="1">
      <c r="B129" s="6"/>
      <c r="C129" s="6"/>
      <c r="D129" s="6"/>
      <c r="E129" s="6"/>
      <c r="F129" s="6"/>
      <c r="G129" s="80"/>
    </row>
    <row r="130" spans="2:7" ht="18" customHeight="1">
      <c r="B130" s="6"/>
      <c r="C130" s="6"/>
      <c r="D130" s="6"/>
      <c r="E130" s="6"/>
      <c r="F130" s="6"/>
      <c r="G130" s="80"/>
    </row>
    <row r="131" spans="2:7" ht="18" customHeight="1">
      <c r="B131" s="6"/>
      <c r="C131" s="6"/>
      <c r="D131" s="6"/>
      <c r="E131" s="6"/>
      <c r="F131" s="6"/>
      <c r="G131" s="80"/>
    </row>
    <row r="132" spans="2:7" ht="18" customHeight="1">
      <c r="B132" s="6"/>
      <c r="C132" s="6"/>
      <c r="D132" s="6"/>
      <c r="E132" s="6"/>
      <c r="F132" s="6"/>
      <c r="G132" s="80"/>
    </row>
    <row r="133" spans="2:7" ht="18" customHeight="1">
      <c r="B133" s="6"/>
      <c r="C133" s="6"/>
      <c r="D133" s="6"/>
      <c r="E133" s="6"/>
      <c r="F133" s="6"/>
      <c r="G133" s="80"/>
    </row>
    <row r="134" spans="2:7" ht="18" customHeight="1">
      <c r="B134" s="6"/>
      <c r="C134" s="6"/>
      <c r="D134" s="6"/>
      <c r="E134" s="6"/>
      <c r="F134" s="6"/>
      <c r="G134" s="80"/>
    </row>
    <row r="135" spans="2:7" ht="18" customHeight="1">
      <c r="B135" s="6"/>
      <c r="C135" s="6"/>
      <c r="D135" s="6"/>
      <c r="E135" s="6"/>
      <c r="F135" s="6"/>
      <c r="G135" s="80"/>
    </row>
    <row r="136" spans="2:7" ht="18" customHeight="1">
      <c r="B136" s="6"/>
      <c r="C136" s="6"/>
      <c r="D136" s="6"/>
      <c r="E136" s="6"/>
      <c r="F136" s="6"/>
      <c r="G136" s="80"/>
    </row>
    <row r="137" spans="2:7" ht="18" customHeight="1">
      <c r="B137" s="6"/>
      <c r="C137" s="6"/>
      <c r="D137" s="6"/>
      <c r="E137" s="6"/>
      <c r="F137" s="6"/>
      <c r="G137" s="80"/>
    </row>
    <row r="138" spans="2:7" ht="18" customHeight="1">
      <c r="B138" s="6"/>
      <c r="C138" s="6"/>
      <c r="D138" s="6"/>
      <c r="E138" s="6"/>
      <c r="F138" s="6"/>
      <c r="G138" s="80"/>
    </row>
    <row r="139" spans="2:7" ht="18" customHeight="1">
      <c r="B139" s="6"/>
      <c r="C139" s="6"/>
      <c r="D139" s="6"/>
      <c r="E139" s="6"/>
      <c r="F139" s="6"/>
      <c r="G139" s="80"/>
    </row>
    <row r="140" spans="2:7" ht="18" customHeight="1">
      <c r="B140" s="6"/>
      <c r="C140" s="6"/>
      <c r="D140" s="6"/>
      <c r="E140" s="6"/>
      <c r="F140" s="6"/>
      <c r="G140" s="80"/>
    </row>
    <row r="141" spans="2:7" ht="18" customHeight="1">
      <c r="B141" s="6"/>
      <c r="C141" s="6"/>
      <c r="D141" s="6"/>
      <c r="E141" s="6"/>
      <c r="F141" s="6"/>
      <c r="G141" s="80"/>
    </row>
    <row r="142" spans="2:7" ht="18" customHeight="1">
      <c r="B142" s="6"/>
      <c r="C142" s="6"/>
      <c r="D142" s="6"/>
      <c r="E142" s="6"/>
      <c r="F142" s="6"/>
      <c r="G142" s="80"/>
    </row>
    <row r="143" spans="2:7" ht="18" customHeight="1">
      <c r="B143" s="6"/>
      <c r="C143" s="6"/>
      <c r="D143" s="6"/>
      <c r="E143" s="6"/>
      <c r="F143" s="6"/>
      <c r="G143" s="80"/>
    </row>
    <row r="144" spans="2:7" ht="18" customHeight="1">
      <c r="B144" s="6"/>
      <c r="C144" s="6"/>
      <c r="D144" s="6"/>
      <c r="E144" s="6"/>
      <c r="F144" s="6"/>
      <c r="G144" s="80"/>
    </row>
    <row r="145" spans="2:7" ht="18" customHeight="1">
      <c r="B145" s="6"/>
      <c r="C145" s="6"/>
      <c r="D145" s="6"/>
      <c r="E145" s="6"/>
      <c r="F145" s="6"/>
      <c r="G145" s="80"/>
    </row>
    <row r="146" spans="2:7" ht="18" customHeight="1">
      <c r="B146" s="6"/>
      <c r="C146" s="6"/>
      <c r="D146" s="6"/>
      <c r="E146" s="6"/>
      <c r="F146" s="6"/>
      <c r="G146" s="80"/>
    </row>
    <row r="147" spans="2:7" ht="18" customHeight="1">
      <c r="B147" s="6"/>
      <c r="C147" s="6"/>
      <c r="D147" s="6"/>
      <c r="E147" s="6"/>
      <c r="F147" s="6"/>
      <c r="G147" s="80"/>
    </row>
    <row r="148" spans="2:7" ht="18" customHeight="1">
      <c r="B148" s="6"/>
      <c r="C148" s="6"/>
      <c r="D148" s="6"/>
      <c r="E148" s="6"/>
      <c r="F148" s="6"/>
      <c r="G148" s="80"/>
    </row>
    <row r="149" spans="2:7" ht="18" customHeight="1">
      <c r="B149" s="6"/>
      <c r="C149" s="6"/>
      <c r="D149" s="6"/>
      <c r="E149" s="6"/>
      <c r="F149" s="6"/>
      <c r="G149" s="80"/>
    </row>
    <row r="150" spans="2:7" ht="18" customHeight="1">
      <c r="B150" s="6"/>
      <c r="C150" s="6"/>
      <c r="D150" s="6"/>
      <c r="E150" s="6"/>
      <c r="F150" s="6"/>
      <c r="G150" s="80"/>
    </row>
    <row r="151" spans="2:7" ht="18" customHeight="1">
      <c r="B151" s="6"/>
      <c r="C151" s="6"/>
      <c r="D151" s="6"/>
      <c r="E151" s="6"/>
      <c r="F151" s="6"/>
      <c r="G151" s="80"/>
    </row>
    <row r="152" spans="2:7" ht="18" customHeight="1">
      <c r="B152" s="6"/>
      <c r="C152" s="6"/>
      <c r="D152" s="6"/>
      <c r="E152" s="6"/>
      <c r="F152" s="6"/>
      <c r="G152" s="80"/>
    </row>
    <row r="153" spans="2:7" ht="18" customHeight="1">
      <c r="B153" s="6"/>
      <c r="C153" s="6"/>
      <c r="D153" s="6"/>
      <c r="E153" s="6"/>
      <c r="F153" s="6"/>
      <c r="G153" s="80"/>
    </row>
    <row r="154" spans="2:7" ht="18" customHeight="1">
      <c r="B154" s="6"/>
      <c r="C154" s="6"/>
      <c r="D154" s="6"/>
      <c r="E154" s="6"/>
      <c r="F154" s="6"/>
      <c r="G154" s="80"/>
    </row>
    <row r="155" spans="2:7" ht="18" customHeight="1">
      <c r="B155" s="6"/>
      <c r="C155" s="6"/>
      <c r="D155" s="6"/>
      <c r="E155" s="6"/>
      <c r="F155" s="6"/>
      <c r="G155" s="80"/>
    </row>
    <row r="156" spans="2:7" ht="18" customHeight="1">
      <c r="B156" s="6"/>
      <c r="C156" s="6"/>
      <c r="D156" s="6"/>
      <c r="E156" s="6"/>
      <c r="F156" s="6"/>
      <c r="G156" s="80"/>
    </row>
    <row r="157" spans="2:7" ht="18" customHeight="1">
      <c r="B157" s="6"/>
      <c r="C157" s="6"/>
      <c r="D157" s="6"/>
      <c r="E157" s="6"/>
      <c r="F157" s="6"/>
      <c r="G157" s="80"/>
    </row>
    <row r="158" spans="2:7" ht="18" customHeight="1">
      <c r="B158" s="6"/>
      <c r="C158" s="6"/>
      <c r="D158" s="6"/>
      <c r="E158" s="6"/>
      <c r="F158" s="6"/>
      <c r="G158" s="80"/>
    </row>
    <row r="159" spans="2:7" ht="18" customHeight="1">
      <c r="B159" s="6"/>
      <c r="C159" s="6"/>
      <c r="D159" s="6"/>
      <c r="E159" s="6"/>
      <c r="F159" s="6"/>
      <c r="G159" s="80"/>
    </row>
    <row r="160" spans="2:7" ht="18" customHeight="1">
      <c r="B160" s="6"/>
      <c r="C160" s="6"/>
      <c r="D160" s="6"/>
      <c r="E160" s="6"/>
      <c r="F160" s="6"/>
      <c r="G160" s="80"/>
    </row>
    <row r="161" spans="2:7" ht="18" customHeight="1">
      <c r="B161" s="6"/>
      <c r="C161" s="6"/>
      <c r="D161" s="6"/>
      <c r="E161" s="6"/>
      <c r="F161" s="6"/>
      <c r="G161" s="80"/>
    </row>
    <row r="162" spans="2:7" ht="18" customHeight="1">
      <c r="B162" s="6"/>
      <c r="C162" s="6"/>
      <c r="D162" s="6"/>
      <c r="E162" s="6"/>
      <c r="F162" s="6"/>
      <c r="G162" s="80"/>
    </row>
    <row r="163" spans="2:7" ht="18" customHeight="1">
      <c r="B163" s="6"/>
      <c r="C163" s="6"/>
      <c r="D163" s="6"/>
      <c r="E163" s="6"/>
      <c r="F163" s="6"/>
      <c r="G163" s="80"/>
    </row>
    <row r="164" spans="2:7" ht="18" customHeight="1">
      <c r="B164" s="6"/>
      <c r="C164" s="6"/>
      <c r="D164" s="6"/>
      <c r="E164" s="6"/>
      <c r="F164" s="6"/>
      <c r="G164" s="80"/>
    </row>
    <row r="165" spans="2:7" ht="18" customHeight="1">
      <c r="B165" s="6"/>
      <c r="C165" s="6"/>
      <c r="D165" s="6"/>
      <c r="E165" s="6"/>
      <c r="F165" s="6"/>
      <c r="G165" s="80"/>
    </row>
    <row r="166" spans="2:7" ht="18" customHeight="1">
      <c r="B166" s="6"/>
      <c r="C166" s="6"/>
      <c r="D166" s="6"/>
      <c r="E166" s="6"/>
      <c r="F166" s="6"/>
      <c r="G166" s="80"/>
    </row>
    <row r="167" spans="2:7" ht="18" customHeight="1">
      <c r="B167" s="6"/>
      <c r="C167" s="6"/>
      <c r="D167" s="6"/>
      <c r="E167" s="6"/>
      <c r="F167" s="6"/>
      <c r="G167" s="80"/>
    </row>
    <row r="168" spans="2:7" ht="18" customHeight="1">
      <c r="B168" s="6"/>
      <c r="C168" s="6"/>
      <c r="D168" s="6"/>
      <c r="E168" s="6"/>
      <c r="F168" s="6"/>
      <c r="G168" s="80"/>
    </row>
    <row r="169" spans="2:7" ht="18" customHeight="1">
      <c r="B169" s="6"/>
      <c r="C169" s="6"/>
      <c r="D169" s="6"/>
      <c r="E169" s="6"/>
      <c r="F169" s="6"/>
      <c r="G169" s="80"/>
    </row>
    <row r="170" spans="2:7" ht="18" customHeight="1">
      <c r="B170" s="6"/>
      <c r="C170" s="6"/>
      <c r="D170" s="6"/>
      <c r="E170" s="6"/>
      <c r="F170" s="6"/>
      <c r="G170" s="80"/>
    </row>
    <row r="171" spans="2:7" ht="18" customHeight="1">
      <c r="B171" s="6"/>
      <c r="C171" s="6"/>
      <c r="D171" s="6"/>
      <c r="E171" s="6"/>
      <c r="F171" s="6"/>
      <c r="G171" s="80"/>
    </row>
    <row r="172" spans="2:7" ht="18" customHeight="1">
      <c r="B172" s="6"/>
      <c r="C172" s="6"/>
      <c r="D172" s="6"/>
      <c r="E172" s="6"/>
      <c r="F172" s="6"/>
      <c r="G172" s="80"/>
    </row>
    <row r="173" spans="2:7" ht="18" customHeight="1">
      <c r="B173" s="6"/>
      <c r="C173" s="6"/>
      <c r="D173" s="6"/>
      <c r="E173" s="6"/>
      <c r="F173" s="6"/>
      <c r="G173" s="80"/>
    </row>
    <row r="174" spans="2:7" ht="18" customHeight="1">
      <c r="B174" s="6"/>
      <c r="C174" s="6"/>
      <c r="D174" s="6"/>
      <c r="E174" s="6"/>
      <c r="F174" s="6"/>
      <c r="G174" s="80"/>
    </row>
    <row r="175" spans="2:7" ht="18" customHeight="1">
      <c r="B175" s="6"/>
      <c r="C175" s="6"/>
      <c r="D175" s="6"/>
      <c r="E175" s="6"/>
      <c r="F175" s="6"/>
      <c r="G175" s="80"/>
    </row>
    <row r="176" spans="2:7" ht="18" customHeight="1">
      <c r="B176" s="6"/>
      <c r="C176" s="6"/>
      <c r="D176" s="6"/>
      <c r="E176" s="6"/>
      <c r="F176" s="6"/>
      <c r="G176" s="80"/>
    </row>
    <row r="177" spans="2:7" ht="18" customHeight="1">
      <c r="B177" s="6"/>
      <c r="C177" s="6"/>
      <c r="D177" s="6"/>
      <c r="E177" s="6"/>
      <c r="F177" s="6"/>
      <c r="G177" s="80"/>
    </row>
    <row r="178" spans="2:7" ht="18" customHeight="1">
      <c r="B178" s="6"/>
      <c r="C178" s="6"/>
      <c r="D178" s="6"/>
      <c r="E178" s="6"/>
      <c r="F178" s="6"/>
      <c r="G178" s="80"/>
    </row>
    <row r="179" spans="2:7" ht="18" customHeight="1">
      <c r="B179" s="6"/>
      <c r="C179" s="6"/>
      <c r="D179" s="6"/>
      <c r="E179" s="6"/>
      <c r="F179" s="6"/>
      <c r="G179" s="80"/>
    </row>
    <row r="180" spans="2:7" ht="18" customHeight="1">
      <c r="B180" s="6"/>
      <c r="C180" s="6"/>
      <c r="D180" s="6"/>
      <c r="E180" s="6"/>
      <c r="F180" s="6"/>
      <c r="G180" s="80"/>
    </row>
    <row r="181" spans="2:7" ht="18" customHeight="1">
      <c r="B181" s="6"/>
      <c r="C181" s="6"/>
      <c r="D181" s="6"/>
      <c r="E181" s="6"/>
      <c r="F181" s="6"/>
      <c r="G181" s="80"/>
    </row>
    <row r="182" spans="2:7" ht="18" customHeight="1">
      <c r="B182" s="6"/>
      <c r="C182" s="6"/>
      <c r="D182" s="6"/>
      <c r="E182" s="6"/>
      <c r="F182" s="6"/>
      <c r="G182" s="80"/>
    </row>
    <row r="183" spans="2:7" ht="18" customHeight="1">
      <c r="B183" s="6"/>
      <c r="C183" s="6"/>
      <c r="D183" s="6"/>
      <c r="E183" s="6"/>
      <c r="F183" s="6"/>
      <c r="G183" s="80"/>
    </row>
    <row r="184" spans="2:7" ht="18" customHeight="1">
      <c r="B184" s="6"/>
      <c r="C184" s="6"/>
      <c r="D184" s="6"/>
      <c r="E184" s="6"/>
      <c r="F184" s="6"/>
      <c r="G184" s="80"/>
    </row>
    <row r="185" spans="2:7" ht="18" customHeight="1">
      <c r="B185" s="6"/>
      <c r="C185" s="6"/>
      <c r="D185" s="6"/>
      <c r="E185" s="6"/>
      <c r="F185" s="6"/>
      <c r="G185" s="80"/>
    </row>
    <row r="186" spans="2:7" ht="18" customHeight="1">
      <c r="B186" s="6"/>
      <c r="C186" s="6"/>
      <c r="D186" s="6"/>
      <c r="E186" s="6"/>
      <c r="F186" s="6"/>
      <c r="G186" s="80"/>
    </row>
    <row r="187" spans="2:7" ht="18" customHeight="1">
      <c r="B187" s="6"/>
      <c r="C187" s="6"/>
      <c r="D187" s="6"/>
      <c r="E187" s="6"/>
      <c r="F187" s="6"/>
      <c r="G187" s="80"/>
    </row>
    <row r="188" spans="2:7" ht="18" customHeight="1">
      <c r="B188" s="6"/>
      <c r="C188" s="6"/>
      <c r="D188" s="6"/>
      <c r="E188" s="6"/>
      <c r="F188" s="6"/>
      <c r="G188" s="80"/>
    </row>
    <row r="189" spans="2:7" ht="18" customHeight="1">
      <c r="B189" s="6"/>
      <c r="C189" s="6"/>
      <c r="D189" s="6"/>
      <c r="E189" s="6"/>
      <c r="F189" s="6"/>
      <c r="G189" s="80"/>
    </row>
    <row r="190" spans="2:7" ht="18" customHeight="1">
      <c r="B190" s="6"/>
      <c r="C190" s="6"/>
      <c r="D190" s="6"/>
      <c r="E190" s="6"/>
      <c r="F190" s="6"/>
      <c r="G190" s="80"/>
    </row>
    <row r="191" spans="2:7" ht="18" customHeight="1">
      <c r="B191" s="6"/>
      <c r="C191" s="6"/>
      <c r="D191" s="6"/>
      <c r="E191" s="6"/>
      <c r="F191" s="6"/>
      <c r="G191" s="80"/>
    </row>
    <row r="192" spans="2:7" ht="18" customHeight="1">
      <c r="B192" s="6"/>
      <c r="C192" s="6"/>
      <c r="D192" s="6"/>
      <c r="E192" s="6"/>
      <c r="F192" s="6"/>
      <c r="G192" s="80"/>
    </row>
    <row r="193" spans="2:7" ht="18" customHeight="1">
      <c r="B193" s="6"/>
      <c r="C193" s="6"/>
      <c r="D193" s="6"/>
      <c r="E193" s="6"/>
      <c r="F193" s="6"/>
      <c r="G193" s="80"/>
    </row>
    <row r="194" spans="2:7" ht="18" customHeight="1">
      <c r="B194" s="6"/>
      <c r="C194" s="6"/>
      <c r="D194" s="6"/>
      <c r="E194" s="6"/>
      <c r="F194" s="6"/>
      <c r="G194" s="80"/>
    </row>
    <row r="195" spans="2:7" ht="18" customHeight="1">
      <c r="B195" s="6"/>
      <c r="C195" s="6"/>
      <c r="D195" s="6"/>
      <c r="E195" s="6"/>
      <c r="F195" s="6"/>
      <c r="G195" s="80"/>
    </row>
    <row r="196" spans="2:7" ht="18" customHeight="1">
      <c r="B196" s="6"/>
      <c r="C196" s="6"/>
      <c r="D196" s="6"/>
      <c r="E196" s="6"/>
      <c r="F196" s="6"/>
      <c r="G196" s="80"/>
    </row>
    <row r="197" spans="2:7" ht="18" customHeight="1">
      <c r="B197" s="6"/>
      <c r="C197" s="6"/>
      <c r="D197" s="6"/>
      <c r="E197" s="6"/>
      <c r="F197" s="6"/>
      <c r="G197" s="80"/>
    </row>
    <row r="198" spans="2:7" ht="18" customHeight="1">
      <c r="B198" s="6"/>
      <c r="C198" s="6"/>
      <c r="D198" s="6"/>
      <c r="E198" s="6"/>
      <c r="F198" s="6"/>
      <c r="G198" s="80"/>
    </row>
    <row r="199" spans="2:7" ht="18" customHeight="1">
      <c r="B199" s="6"/>
      <c r="C199" s="6"/>
      <c r="D199" s="6"/>
      <c r="E199" s="6"/>
      <c r="F199" s="6"/>
      <c r="G199" s="80"/>
    </row>
    <row r="200" spans="2:7" ht="18" customHeight="1">
      <c r="B200" s="6"/>
      <c r="C200" s="6"/>
      <c r="D200" s="6"/>
      <c r="E200" s="6"/>
      <c r="F200" s="6"/>
      <c r="G200" s="80"/>
    </row>
    <row r="201" spans="2:7" ht="18" customHeight="1">
      <c r="B201" s="6"/>
      <c r="C201" s="6"/>
      <c r="D201" s="6"/>
      <c r="E201" s="6"/>
      <c r="F201" s="6"/>
      <c r="G201" s="80"/>
    </row>
    <row r="202" spans="2:7" ht="18" customHeight="1">
      <c r="B202" s="6"/>
      <c r="C202" s="6"/>
      <c r="D202" s="6"/>
      <c r="E202" s="6"/>
      <c r="F202" s="6"/>
      <c r="G202" s="80"/>
    </row>
  </sheetData>
  <sheetProtection insertRows="0"/>
  <autoFilter ref="B2:G2" xr:uid="{00000000-0001-0000-0300-000000000000}"/>
  <phoneticPr fontId="5" type="noConversion"/>
  <conditionalFormatting sqref="C3:C1048576">
    <cfRule type="expression" dxfId="16" priority="1">
      <formula>AND($C3&lt;&gt;"",COUNTIF(면_이름목록,$C3)=0)</formula>
    </cfRule>
  </conditionalFormatting>
  <conditionalFormatting sqref="G3:G1048576">
    <cfRule type="expression" dxfId="15" priority="2">
      <formula>$D3="door"</formula>
    </cfRule>
  </conditionalFormatting>
  <dataValidations count="7">
    <dataValidation allowBlank="1" showInputMessage="1" showErrorMessage="1" promptTitle="개구부_소속면" prompt="각 개구부가 포함된 면의 이름을 입력._x000a_면 탭에서 입력한 이름과 동일하게 입력." sqref="C2" xr:uid="{00000000-0002-0000-0300-000000000000}"/>
    <dataValidation allowBlank="1" showInputMessage="1" showErrorMessage="1" promptTitle="개구부_구조체이름" prompt="구조체_개구부 탭에서 입력한 이름을 동일하게 입력." sqref="F2" xr:uid="{00000000-0002-0000-0300-000001000000}"/>
    <dataValidation type="list" errorStyle="warning" allowBlank="1" showInputMessage="1" showErrorMessage="1" errorTitle="외기직접면 목록 외 입력" error="외기직접면이 아닙니다._x000a_내측창 입력 시, 면 시트에 입력된 면 이름을 직접 입력할 수 있습니다." sqref="C3:C1048576" xr:uid="{00000000-0002-0000-0300-000002000000}">
      <formula1>외기벽_이름목록</formula1>
    </dataValidation>
    <dataValidation type="decimal" operator="greaterThan" allowBlank="1" showInputMessage="1" showErrorMessage="1" errorTitle="개구부 면적" error="개구부 면적은 0 초과의 면적을 가져야 합니다." sqref="E3:E1048576" xr:uid="{00000000-0002-0000-0300-000003000000}">
      <formula1>0</formula1>
    </dataValidation>
    <dataValidation type="list" allowBlank="1" showInputMessage="1" showErrorMessage="1" sqref="F3:F1048576" xr:uid="{00000000-0002-0000-0300-000004000000}">
      <formula1>구조체_개구부_이름목록</formula1>
    </dataValidation>
    <dataValidation type="custom" allowBlank="1" showInputMessage="1" showErrorMessage="1" errorTitle="개구부 이름" error="개구부 이름이 중복되었습니다. 다른 이름을 입력하세요." sqref="B3:B1048576" xr:uid="{00000000-0002-0000-0300-000005000000}">
      <formula1>COUNTIF($B$3:$B$301, B3)=1</formula1>
    </dataValidation>
    <dataValidation type="list" allowBlank="1" showInputMessage="1" showErrorMessage="1" sqref="I3" xr:uid="{F517F4F9-F496-49B2-A68F-3E3F1324E3BE}">
      <formula1>"ECO2, ECO2-OD, 평면도, 입면도, 창호도, 재검수 필요"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6B1A6F5-92AE-4A10-B171-56EF20DC9AF6}">
          <x14:formula1>
            <xm:f>참조!$L$2:$L$3</xm:f>
          </x14:formula1>
          <xm:sqref>G3:G1048576</xm:sqref>
        </x14:dataValidation>
        <x14:dataValidation type="list" allowBlank="1" showInputMessage="1" showErrorMessage="1" xr:uid="{B005B26E-27D9-4504-8799-EA4667DEAB74}">
          <x14:formula1>
            <xm:f>참조!$C$2:$C$4</xm:f>
          </x14:formula1>
          <xm:sqref>D3:D1048576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B1:O61"/>
  <sheetViews>
    <sheetView workbookViewId="0">
      <selection activeCell="B3" sqref="B3"/>
    </sheetView>
  </sheetViews>
  <sheetFormatPr defaultColWidth="12.5703125" defaultRowHeight="18" customHeight="1"/>
  <cols>
    <col min="1" max="1" width="1.28515625" style="17" customWidth="1"/>
    <col min="2" max="2" width="17.7109375" style="5" customWidth="1"/>
    <col min="3" max="3" width="28.28515625" style="5" bestFit="1" customWidth="1"/>
    <col min="4" max="4" width="24.28515625" style="5" bestFit="1" customWidth="1"/>
    <col min="5" max="5" width="20.7109375" style="5" customWidth="1"/>
    <col min="6" max="6" width="21.42578125" style="5" customWidth="1"/>
    <col min="7" max="7" width="22.28515625" style="5" bestFit="1" customWidth="1"/>
    <col min="8" max="8" width="22.5703125" style="5" customWidth="1"/>
    <col min="9" max="9" width="22.28515625" style="5" bestFit="1" customWidth="1"/>
    <col min="10" max="10" width="22.5703125" style="5" customWidth="1"/>
    <col min="11" max="11" width="22.28515625" style="5" bestFit="1" customWidth="1"/>
    <col min="12" max="12" width="22.5703125" style="5" customWidth="1"/>
    <col min="13" max="13" width="22.28515625" style="5" bestFit="1" customWidth="1"/>
    <col min="14" max="14" width="3" style="17" customWidth="1"/>
    <col min="15" max="15" width="14" style="17" bestFit="1" customWidth="1"/>
    <col min="16" max="16384" width="12.5703125" style="17"/>
  </cols>
  <sheetData>
    <row r="1" spans="2:15" ht="51" customHeight="1">
      <c r="B1" s="98" t="s">
        <v>553</v>
      </c>
      <c r="C1" s="99"/>
      <c r="D1" s="56" t="s">
        <v>554</v>
      </c>
      <c r="E1" s="100"/>
      <c r="F1" s="100"/>
      <c r="G1" s="100"/>
      <c r="H1" s="100"/>
      <c r="I1" s="100"/>
      <c r="J1" s="100"/>
      <c r="K1" s="100"/>
      <c r="L1" s="100"/>
      <c r="M1" s="57" t="s">
        <v>555</v>
      </c>
    </row>
    <row r="2" spans="2:15" ht="18" customHeight="1">
      <c r="B2" s="55" t="s">
        <v>8</v>
      </c>
      <c r="C2" s="55" t="s">
        <v>552</v>
      </c>
      <c r="D2" s="55" t="s">
        <v>45</v>
      </c>
      <c r="E2" s="55" t="s">
        <v>46</v>
      </c>
      <c r="F2" s="55" t="s">
        <v>47</v>
      </c>
      <c r="G2" s="55" t="s">
        <v>48</v>
      </c>
      <c r="H2" s="55" t="s">
        <v>49</v>
      </c>
      <c r="I2" s="55" t="s">
        <v>50</v>
      </c>
      <c r="J2" s="55" t="s">
        <v>51</v>
      </c>
      <c r="K2" s="55" t="s">
        <v>52</v>
      </c>
      <c r="L2" s="55" t="s">
        <v>53</v>
      </c>
      <c r="M2" s="55" t="s">
        <v>54</v>
      </c>
      <c r="O2" s="67" t="s">
        <v>584</v>
      </c>
    </row>
    <row r="3" spans="2:15" ht="18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O3" s="94"/>
    </row>
    <row r="4" spans="2:15" ht="18" customHeight="1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2:15" ht="18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2:15" ht="18" customHeight="1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2:15" ht="18" customHeight="1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2:15" ht="18" customHeight="1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2:15" ht="18" customHeight="1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2:15" ht="18" customHeight="1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2:15" ht="18" customHeight="1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2:15" ht="18" customHeight="1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2:15" ht="18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2:15" ht="18" customHeight="1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2:15" ht="18" customHeight="1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5" ht="18" customHeight="1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2:13" ht="18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2:13" ht="18" customHeight="1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2:13" ht="18" customHeight="1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2:13" ht="18" customHeight="1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2:13" ht="18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2:13" ht="18" customHeight="1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2:13" ht="18" customHeight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2:13" ht="18" customHeight="1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2:13" ht="18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</row>
    <row r="26" spans="2:13" ht="18" customHeight="1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2:13" ht="18" customHeight="1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2:13" ht="18" customHeight="1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2:13" ht="18" customHeight="1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</row>
    <row r="30" spans="2:13" ht="18" customHeight="1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</row>
    <row r="31" spans="2:13" ht="18" customHeight="1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2:13" ht="18" customHeight="1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</row>
    <row r="33" spans="2:13" ht="18" customHeight="1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</row>
    <row r="34" spans="2:13" ht="18" customHeight="1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</row>
    <row r="35" spans="2:13" ht="18" customHeight="1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2:13" ht="18" customHeight="1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</row>
    <row r="37" spans="2:13" ht="18" customHeight="1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2:13" ht="18" customHeight="1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2:13" ht="18" customHeight="1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2:13" ht="18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2:13" ht="18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2:13" ht="18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8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8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8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8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2:13" ht="18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2:13" ht="18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2:13" ht="18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2:13" ht="18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2:13" ht="18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2:13" ht="18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2:13" ht="18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2:13" ht="18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2:13" ht="18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2:13" ht="18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2:13" ht="18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2:13" ht="18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2:13" ht="18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2:13" ht="18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2:13" ht="18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</sheetData>
  <sheetProtection insertRows="0"/>
  <mergeCells count="2">
    <mergeCell ref="B1:C1"/>
    <mergeCell ref="E1:L1"/>
  </mergeCells>
  <phoneticPr fontId="5" type="noConversion"/>
  <dataValidations count="4">
    <dataValidation allowBlank="1" showInputMessage="1" showErrorMessage="1" promptTitle="구조체_면 재료" prompt="재료 탭에서 입력한 이름을 동일하게 입력." sqref="D2" xr:uid="{00000000-0002-0000-0400-000000000000}"/>
    <dataValidation type="list" allowBlank="1" showInputMessage="1" showErrorMessage="1" sqref="D3:D1048576 F3:F1048576 H3:H1048576 J3:J1048576 L3:L1048576" xr:uid="{00000000-0002-0000-0400-000001000000}">
      <formula1>재료_이름목록</formula1>
    </dataValidation>
    <dataValidation type="custom" allowBlank="1" showInputMessage="1" showErrorMessage="1" errorTitle="구조체_면 이름" error="구조체_면 이름이 중복되었습니다. 다른 이름을 입력하세요." sqref="B3:B1048576" xr:uid="{00000000-0002-0000-0400-000002000000}">
      <formula1>COUNTIF($B$3:$B$301, B3)=1</formula1>
    </dataValidation>
    <dataValidation type="list" allowBlank="1" showInputMessage="1" showErrorMessage="1" sqref="O3" xr:uid="{EABF1301-5602-427E-AB86-CA7EBE8474EC}">
      <formula1>"ECO2, ECO2-OD, 평면도, 입면도, 단면도, 재료마감표, 성적서, 형별성능도, 계획도(건축), 사진, 인터뷰, 재검수 필요"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구조체_면 이름" error="구조체_면 이름이 중복되었습니다. 다른 이름을 입력하세요." xr:uid="{EF4491DF-7838-40B0-AE0B-0350BA4E698D}">
          <x14:formula1>
            <xm:f>참조!$T$2:$T$8</xm:f>
          </x14:formula1>
          <xm:sqref>C3:C1048576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B1:G62"/>
  <sheetViews>
    <sheetView zoomScaleNormal="100" workbookViewId="0">
      <selection activeCell="B3" sqref="B3"/>
    </sheetView>
  </sheetViews>
  <sheetFormatPr defaultColWidth="12.5703125" defaultRowHeight="18" customHeight="1"/>
  <cols>
    <col min="1" max="1" width="1.5703125" style="21" customWidth="1"/>
    <col min="2" max="2" width="32.140625" style="21" customWidth="1"/>
    <col min="3" max="3" width="10.5703125" style="21" bestFit="1" customWidth="1"/>
    <col min="4" max="4" width="23" style="21" customWidth="1"/>
    <col min="5" max="5" width="19.85546875" style="21" customWidth="1"/>
    <col min="6" max="6" width="2.140625" style="21" customWidth="1"/>
    <col min="7" max="7" width="21.140625" style="21" bestFit="1" customWidth="1"/>
    <col min="8" max="16384" width="12.5703125" style="21"/>
  </cols>
  <sheetData>
    <row r="1" spans="2:7" ht="6.75" customHeight="1"/>
    <row r="2" spans="2:7" s="4" customFormat="1" ht="18" customHeight="1">
      <c r="B2" s="3" t="s">
        <v>8</v>
      </c>
      <c r="C2" s="3" t="s">
        <v>55</v>
      </c>
      <c r="D2" s="3" t="s">
        <v>56</v>
      </c>
      <c r="E2" s="3" t="s">
        <v>57</v>
      </c>
      <c r="G2" s="67" t="s">
        <v>587</v>
      </c>
    </row>
    <row r="3" spans="2:7" ht="18" customHeight="1">
      <c r="B3" s="6"/>
      <c r="C3" s="6"/>
      <c r="D3" s="6"/>
      <c r="E3" s="6"/>
      <c r="G3" s="94"/>
    </row>
    <row r="4" spans="2:7" ht="18" customHeight="1">
      <c r="B4" s="6"/>
      <c r="C4" s="6"/>
      <c r="D4" s="6"/>
      <c r="E4" s="6"/>
      <c r="G4" s="17"/>
    </row>
    <row r="5" spans="2:7" ht="18" customHeight="1">
      <c r="B5" s="6"/>
      <c r="C5" s="6"/>
      <c r="D5" s="6"/>
      <c r="E5" s="6"/>
    </row>
    <row r="6" spans="2:7" ht="18" customHeight="1">
      <c r="B6" s="6"/>
      <c r="C6" s="6"/>
      <c r="D6" s="6"/>
      <c r="E6" s="6"/>
    </row>
    <row r="7" spans="2:7" ht="18" customHeight="1">
      <c r="B7" s="6"/>
      <c r="C7" s="6"/>
      <c r="D7" s="6"/>
      <c r="E7" s="6"/>
    </row>
    <row r="8" spans="2:7" ht="18" customHeight="1">
      <c r="B8" s="6"/>
      <c r="C8" s="6"/>
      <c r="D8" s="6"/>
      <c r="E8" s="6"/>
    </row>
    <row r="9" spans="2:7" ht="18" customHeight="1">
      <c r="B9" s="6"/>
      <c r="C9" s="6"/>
      <c r="D9" s="6"/>
      <c r="E9" s="6"/>
    </row>
    <row r="10" spans="2:7" ht="18" customHeight="1">
      <c r="B10" s="6"/>
      <c r="C10" s="6"/>
      <c r="D10" s="6"/>
      <c r="E10" s="6"/>
    </row>
    <row r="11" spans="2:7" ht="18" customHeight="1">
      <c r="B11" s="6"/>
      <c r="C11" s="6"/>
      <c r="D11" s="6"/>
      <c r="E11" s="6"/>
    </row>
    <row r="12" spans="2:7" ht="18" customHeight="1">
      <c r="B12" s="6"/>
      <c r="C12" s="6"/>
      <c r="D12" s="6"/>
      <c r="E12" s="6"/>
    </row>
    <row r="13" spans="2:7" ht="18" customHeight="1">
      <c r="B13" s="6"/>
      <c r="C13" s="6"/>
      <c r="D13" s="6"/>
      <c r="E13" s="6"/>
    </row>
    <row r="14" spans="2:7" ht="18" customHeight="1">
      <c r="B14" s="6"/>
      <c r="C14" s="6"/>
      <c r="D14" s="6"/>
      <c r="E14" s="6"/>
    </row>
    <row r="15" spans="2:7" ht="18" customHeight="1">
      <c r="B15" s="6"/>
      <c r="C15" s="6"/>
      <c r="D15" s="6"/>
      <c r="E15" s="6"/>
    </row>
    <row r="16" spans="2:7" ht="18" customHeight="1">
      <c r="B16" s="6"/>
      <c r="C16" s="6"/>
      <c r="D16" s="6"/>
      <c r="E16" s="6"/>
    </row>
    <row r="17" spans="2:5" ht="18" customHeight="1">
      <c r="B17" s="6"/>
      <c r="C17" s="6"/>
      <c r="D17" s="6"/>
      <c r="E17" s="6"/>
    </row>
    <row r="18" spans="2:5" ht="18" customHeight="1">
      <c r="B18" s="6"/>
      <c r="C18" s="6"/>
      <c r="D18" s="6"/>
      <c r="E18" s="6"/>
    </row>
    <row r="19" spans="2:5" ht="18" customHeight="1">
      <c r="B19" s="6"/>
      <c r="C19" s="6"/>
      <c r="D19" s="6"/>
      <c r="E19" s="6"/>
    </row>
    <row r="20" spans="2:5" ht="18" customHeight="1">
      <c r="B20" s="6"/>
      <c r="C20" s="6"/>
      <c r="D20" s="6"/>
      <c r="E20" s="6"/>
    </row>
    <row r="21" spans="2:5" ht="18" customHeight="1">
      <c r="B21" s="6"/>
      <c r="C21" s="6"/>
      <c r="D21" s="6"/>
      <c r="E21" s="6"/>
    </row>
    <row r="22" spans="2:5" ht="18" customHeight="1">
      <c r="B22" s="6"/>
      <c r="C22" s="6"/>
      <c r="D22" s="6"/>
      <c r="E22" s="6"/>
    </row>
    <row r="23" spans="2:5" ht="18" customHeight="1">
      <c r="B23" s="6"/>
      <c r="C23" s="6"/>
      <c r="D23" s="6"/>
      <c r="E23" s="6"/>
    </row>
    <row r="24" spans="2:5" ht="18" customHeight="1">
      <c r="B24" s="6"/>
      <c r="C24" s="6"/>
      <c r="D24" s="6"/>
      <c r="E24" s="6"/>
    </row>
    <row r="25" spans="2:5" ht="18" customHeight="1">
      <c r="B25" s="6"/>
      <c r="C25" s="6"/>
      <c r="D25" s="6"/>
      <c r="E25" s="6"/>
    </row>
    <row r="26" spans="2:5" ht="18" customHeight="1">
      <c r="B26" s="6"/>
      <c r="C26" s="6"/>
      <c r="D26" s="6"/>
      <c r="E26" s="6"/>
    </row>
    <row r="27" spans="2:5" ht="18" customHeight="1">
      <c r="B27" s="6"/>
      <c r="C27" s="6"/>
      <c r="D27" s="6"/>
      <c r="E27" s="6"/>
    </row>
    <row r="28" spans="2:5" ht="18" customHeight="1">
      <c r="B28" s="6"/>
      <c r="C28" s="6"/>
      <c r="D28" s="6"/>
      <c r="E28" s="6"/>
    </row>
    <row r="29" spans="2:5" ht="18" customHeight="1">
      <c r="B29" s="6"/>
      <c r="C29" s="6"/>
      <c r="D29" s="6"/>
      <c r="E29" s="6"/>
    </row>
    <row r="30" spans="2:5" ht="18" customHeight="1">
      <c r="B30" s="6"/>
      <c r="C30" s="6"/>
      <c r="D30" s="6"/>
      <c r="E30" s="6"/>
    </row>
    <row r="31" spans="2:5" ht="18" customHeight="1">
      <c r="B31" s="6"/>
      <c r="C31" s="6"/>
      <c r="D31" s="6"/>
      <c r="E31" s="6"/>
    </row>
    <row r="32" spans="2:5" ht="18" customHeight="1">
      <c r="B32" s="6"/>
      <c r="C32" s="6"/>
      <c r="D32" s="6"/>
      <c r="E32" s="6"/>
    </row>
    <row r="33" spans="2:5" ht="18" customHeight="1">
      <c r="B33" s="6"/>
      <c r="C33" s="6"/>
      <c r="D33" s="6"/>
      <c r="E33" s="6"/>
    </row>
    <row r="34" spans="2:5" ht="18" customHeight="1">
      <c r="B34" s="6"/>
      <c r="C34" s="6"/>
      <c r="D34" s="6"/>
      <c r="E34" s="6"/>
    </row>
    <row r="35" spans="2:5" ht="18" customHeight="1">
      <c r="B35" s="6"/>
      <c r="C35" s="6"/>
      <c r="D35" s="6"/>
      <c r="E35" s="6"/>
    </row>
    <row r="36" spans="2:5" ht="18" customHeight="1">
      <c r="B36" s="6"/>
      <c r="C36" s="6"/>
      <c r="D36" s="6"/>
      <c r="E36" s="6"/>
    </row>
    <row r="37" spans="2:5" ht="18" customHeight="1">
      <c r="B37" s="6"/>
      <c r="C37" s="6"/>
      <c r="D37" s="6"/>
      <c r="E37" s="6"/>
    </row>
    <row r="38" spans="2:5" ht="18" customHeight="1">
      <c r="B38" s="6"/>
      <c r="C38" s="6"/>
      <c r="D38" s="6"/>
      <c r="E38" s="6"/>
    </row>
    <row r="39" spans="2:5" ht="18" customHeight="1">
      <c r="B39" s="6"/>
      <c r="C39" s="6"/>
      <c r="D39" s="6"/>
      <c r="E39" s="6"/>
    </row>
    <row r="40" spans="2:5" ht="18" customHeight="1">
      <c r="B40" s="6"/>
      <c r="C40" s="6"/>
      <c r="D40" s="6"/>
      <c r="E40" s="6"/>
    </row>
    <row r="41" spans="2:5" ht="18" customHeight="1">
      <c r="B41" s="6"/>
      <c r="C41" s="6"/>
      <c r="D41" s="6"/>
      <c r="E41" s="6"/>
    </row>
    <row r="42" spans="2:5" ht="18" customHeight="1">
      <c r="B42" s="6"/>
      <c r="C42" s="6"/>
      <c r="D42" s="6"/>
      <c r="E42" s="6"/>
    </row>
    <row r="43" spans="2:5" ht="18" customHeight="1">
      <c r="B43" s="6"/>
      <c r="C43" s="6"/>
      <c r="D43" s="6"/>
      <c r="E43" s="6"/>
    </row>
    <row r="44" spans="2:5" ht="18" customHeight="1">
      <c r="B44" s="6"/>
      <c r="C44" s="6"/>
      <c r="D44" s="6"/>
      <c r="E44" s="6"/>
    </row>
    <row r="45" spans="2:5" ht="18" customHeight="1">
      <c r="B45" s="6"/>
      <c r="C45" s="6"/>
      <c r="D45" s="6"/>
      <c r="E45" s="6"/>
    </row>
    <row r="46" spans="2:5" ht="18" customHeight="1">
      <c r="B46" s="6"/>
      <c r="C46" s="6"/>
      <c r="D46" s="6"/>
      <c r="E46" s="6"/>
    </row>
    <row r="47" spans="2:5" ht="18" customHeight="1">
      <c r="B47" s="6"/>
      <c r="C47" s="6"/>
      <c r="D47" s="6"/>
      <c r="E47" s="6"/>
    </row>
    <row r="48" spans="2:5" ht="18" customHeight="1">
      <c r="B48" s="6"/>
      <c r="C48" s="6"/>
      <c r="D48" s="6"/>
      <c r="E48" s="6"/>
    </row>
    <row r="49" spans="2:5" ht="18" customHeight="1">
      <c r="B49" s="6"/>
      <c r="C49" s="6"/>
      <c r="D49" s="6"/>
      <c r="E49" s="6"/>
    </row>
    <row r="50" spans="2:5" ht="18" customHeight="1">
      <c r="B50" s="6"/>
      <c r="C50" s="6"/>
      <c r="D50" s="6"/>
      <c r="E50" s="6"/>
    </row>
    <row r="51" spans="2:5" ht="18" customHeight="1">
      <c r="B51" s="6"/>
      <c r="C51" s="6"/>
      <c r="D51" s="6"/>
      <c r="E51" s="6"/>
    </row>
    <row r="52" spans="2:5" ht="18" customHeight="1">
      <c r="B52" s="6"/>
      <c r="C52" s="6"/>
      <c r="D52" s="6"/>
      <c r="E52" s="6"/>
    </row>
    <row r="53" spans="2:5" ht="18" customHeight="1">
      <c r="B53" s="6"/>
      <c r="C53" s="6"/>
      <c r="D53" s="6"/>
      <c r="E53" s="6"/>
    </row>
    <row r="54" spans="2:5" ht="18" customHeight="1">
      <c r="B54" s="6"/>
      <c r="C54" s="6"/>
      <c r="D54" s="6"/>
      <c r="E54" s="6"/>
    </row>
    <row r="55" spans="2:5" ht="18" customHeight="1">
      <c r="B55" s="6"/>
      <c r="C55" s="6"/>
      <c r="D55" s="6"/>
      <c r="E55" s="6"/>
    </row>
    <row r="56" spans="2:5" ht="18" customHeight="1">
      <c r="B56" s="6"/>
      <c r="C56" s="6"/>
      <c r="D56" s="6"/>
      <c r="E56" s="6"/>
    </row>
    <row r="57" spans="2:5" ht="18" customHeight="1">
      <c r="B57" s="6"/>
      <c r="C57" s="6"/>
      <c r="D57" s="6"/>
      <c r="E57" s="6"/>
    </row>
    <row r="58" spans="2:5" ht="18" customHeight="1">
      <c r="B58" s="6"/>
      <c r="C58" s="6"/>
      <c r="D58" s="6"/>
      <c r="E58" s="6"/>
    </row>
    <row r="59" spans="2:5" ht="18" customHeight="1">
      <c r="B59" s="6"/>
      <c r="C59" s="6"/>
      <c r="D59" s="6"/>
      <c r="E59" s="6"/>
    </row>
    <row r="60" spans="2:5" ht="18" customHeight="1">
      <c r="B60" s="6"/>
      <c r="C60" s="6"/>
      <c r="D60" s="6"/>
      <c r="E60" s="6"/>
    </row>
    <row r="61" spans="2:5" ht="18" customHeight="1">
      <c r="B61" s="6"/>
      <c r="C61" s="6"/>
      <c r="D61" s="6"/>
      <c r="E61" s="6"/>
    </row>
    <row r="62" spans="2:5" ht="18" customHeight="1">
      <c r="B62" s="6"/>
      <c r="C62" s="6"/>
      <c r="D62" s="6"/>
      <c r="E62" s="6"/>
    </row>
  </sheetData>
  <sheetProtection insertRows="0"/>
  <autoFilter ref="B2:E2" xr:uid="{00000000-0001-0000-0500-000000000000}"/>
  <phoneticPr fontId="5" type="noConversion"/>
  <conditionalFormatting sqref="E3:E1048576">
    <cfRule type="expression" dxfId="14" priority="1">
      <formula>OR($C3="불투명")</formula>
    </cfRule>
  </conditionalFormatting>
  <dataValidations count="4">
    <dataValidation type="decimal" allowBlank="1" showInputMessage="1" showErrorMessage="1" errorTitle="개구부 열관류율" error="0&lt;= 개구부 열관류율 &lt;= 7.0 의 값을 가져야 합니다." sqref="D3:D1048576" xr:uid="{00000000-0002-0000-0500-000000000000}">
      <formula1>0</formula1>
      <formula2>7</formula2>
    </dataValidation>
    <dataValidation type="decimal" allowBlank="1" showInputMessage="1" showErrorMessage="1" errorTitle="태양열 취득계수" error="0&lt;= 태양열 취득계수 &lt;=1 의 값을 가져야 합니다." sqref="E3:E1048576" xr:uid="{00000000-0002-0000-0500-000001000000}">
      <formula1>0</formula1>
      <formula2>1</formula2>
    </dataValidation>
    <dataValidation type="custom" allowBlank="1" showInputMessage="1" showErrorMessage="1" errorTitle="구조체_개구부 이름" error="구조체_개구부 이름이 중복되었습니다. 다른 이름을 입력하세요." sqref="B3:B1048576" xr:uid="{00000000-0002-0000-0500-000002000000}">
      <formula1>COUNTIF($B$3:$B$301, B3)=1</formula1>
    </dataValidation>
    <dataValidation type="list" allowBlank="1" showInputMessage="1" showErrorMessage="1" sqref="G3" xr:uid="{C5AD1F1E-DB15-4CA2-9F28-D890183CAE33}">
      <formula1>"ECO2, ECO2-OD, 입면도, 단면도, 창호도, 성적서, 형별성능도, 사진, 재검수 필요"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83EAD5-16A7-4D50-A079-0BE600504405}">
          <x14:formula1>
            <xm:f>참조!$E$2:$E$3</xm:f>
          </x14:formula1>
          <xm:sqref>C3:C1048576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0CD-A70D-44F9-A180-7E41EC8D9493}">
  <dimension ref="A1:AD1003"/>
  <sheetViews>
    <sheetView zoomScale="115" zoomScaleNormal="115" workbookViewId="0">
      <selection activeCell="D7" sqref="D7"/>
    </sheetView>
  </sheetViews>
  <sheetFormatPr defaultColWidth="16.85546875" defaultRowHeight="17.100000000000001" customHeight="1"/>
  <cols>
    <col min="1" max="1" width="1.42578125" style="15" customWidth="1"/>
    <col min="2" max="2" width="21.140625" style="15" customWidth="1"/>
    <col min="3" max="3" width="18.140625" style="15" bestFit="1" customWidth="1"/>
    <col min="4" max="16384" width="16.85546875" style="15"/>
  </cols>
  <sheetData>
    <row r="1" spans="1:30" ht="6.75" customHeight="1" thickBot="1"/>
    <row r="2" spans="1:30" s="75" customFormat="1" ht="17.100000000000001" customHeight="1">
      <c r="A2" s="10"/>
      <c r="B2" s="74" t="s">
        <v>561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6"/>
      <c r="AC2" s="86"/>
      <c r="AD2" s="86"/>
    </row>
    <row r="3" spans="1:30" s="73" customFormat="1" ht="17.100000000000001" customHeight="1" thickBot="1">
      <c r="A3" s="15"/>
      <c r="B3" s="68" t="s">
        <v>562</v>
      </c>
      <c r="C3" s="72"/>
      <c r="D3" s="72"/>
      <c r="E3" s="72"/>
      <c r="F3" s="72"/>
      <c r="G3" s="72"/>
      <c r="H3" s="72"/>
      <c r="I3" s="7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7"/>
      <c r="AC3" s="87"/>
      <c r="AD3" s="87"/>
    </row>
    <row r="4" spans="1:30" s="70" customFormat="1" ht="17.100000000000001" customHeight="1">
      <c r="A4" s="15"/>
      <c r="B4" s="63" t="s">
        <v>564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8"/>
      <c r="AC4" s="88"/>
      <c r="AD4" s="88"/>
    </row>
    <row r="5" spans="1:30" s="62" customFormat="1" ht="17.100000000000001" customHeight="1">
      <c r="A5" s="15"/>
      <c r="B5" s="63" t="s">
        <v>563</v>
      </c>
      <c r="C5" s="8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89"/>
      <c r="AC5" s="89"/>
      <c r="AD5" s="89"/>
    </row>
    <row r="6" spans="1:30" s="62" customFormat="1" ht="17.100000000000001" customHeight="1">
      <c r="A6" s="15"/>
      <c r="B6" s="63" t="s">
        <v>565</v>
      </c>
      <c r="C6" s="8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89"/>
      <c r="AC6" s="89"/>
      <c r="AD6" s="89"/>
    </row>
    <row r="7" spans="1:30" s="62" customFormat="1" ht="17.100000000000001" customHeight="1">
      <c r="A7" s="15"/>
      <c r="B7" s="63" t="s">
        <v>566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89"/>
      <c r="AC7" s="89"/>
      <c r="AD7" s="89"/>
    </row>
    <row r="8" spans="1:30" s="62" customFormat="1" ht="17.100000000000001" customHeight="1">
      <c r="A8" s="15"/>
      <c r="B8" s="95" t="s">
        <v>611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89"/>
      <c r="AC8" s="89"/>
      <c r="AD8" s="89"/>
    </row>
    <row r="9" spans="1:30" s="62" customFormat="1" ht="17.100000000000001" customHeight="1">
      <c r="A9" s="15"/>
      <c r="B9" s="63" t="s">
        <v>567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89"/>
      <c r="AC9" s="89"/>
      <c r="AD9" s="89"/>
    </row>
    <row r="10" spans="1:30" s="62" customFormat="1" ht="17.100000000000001" customHeight="1">
      <c r="A10" s="15"/>
      <c r="B10" s="63" t="s">
        <v>568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89"/>
      <c r="AC10" s="89"/>
      <c r="AD10" s="89"/>
    </row>
    <row r="11" spans="1:30" s="62" customFormat="1" ht="17.100000000000001" customHeight="1">
      <c r="A11" s="15"/>
      <c r="B11" s="63" t="s">
        <v>569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89"/>
      <c r="AC11" s="89"/>
      <c r="AD11" s="89"/>
    </row>
    <row r="12" spans="1:30" s="69" customFormat="1" ht="17.100000000000001" customHeight="1" thickBot="1">
      <c r="A12" s="15"/>
      <c r="B12" s="68" t="s">
        <v>570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90"/>
      <c r="AC12" s="90"/>
      <c r="AD12" s="90"/>
    </row>
    <row r="13" spans="1:30" s="70" customFormat="1" ht="17.100000000000001" customHeight="1">
      <c r="A13" s="15"/>
      <c r="B13" s="63" t="s">
        <v>572</v>
      </c>
      <c r="C13" s="85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8"/>
      <c r="AC13" s="88"/>
      <c r="AD13" s="88"/>
    </row>
    <row r="14" spans="1:30" s="62" customFormat="1" ht="17.100000000000001" customHeight="1">
      <c r="A14" s="15"/>
      <c r="B14" s="63" t="s">
        <v>573</v>
      </c>
      <c r="C14" s="8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89"/>
      <c r="AC14" s="89"/>
      <c r="AD14" s="89"/>
    </row>
    <row r="15" spans="1:30" s="62" customFormat="1" ht="17.100000000000001" customHeight="1">
      <c r="A15" s="15"/>
      <c r="B15" s="63" t="s">
        <v>574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89"/>
      <c r="AC15" s="89"/>
      <c r="AD15" s="89"/>
    </row>
    <row r="16" spans="1:30" s="62" customFormat="1" ht="17.100000000000001" customHeight="1">
      <c r="A16" s="15"/>
      <c r="B16" s="63" t="s">
        <v>575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89"/>
      <c r="AC16" s="89"/>
      <c r="AD16" s="89"/>
    </row>
    <row r="17" spans="1:30" s="62" customFormat="1" ht="17.100000000000001" customHeight="1">
      <c r="A17" s="15"/>
      <c r="B17" s="63" t="s">
        <v>576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89"/>
      <c r="AC17" s="89"/>
      <c r="AD17" s="89"/>
    </row>
    <row r="18" spans="1:30" s="62" customFormat="1" ht="17.100000000000001" customHeight="1">
      <c r="A18" s="15"/>
      <c r="B18" s="63" t="s">
        <v>577</v>
      </c>
      <c r="C18" s="8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89"/>
      <c r="AC18" s="89"/>
      <c r="AD18" s="89"/>
    </row>
    <row r="19" spans="1:30" s="62" customFormat="1" ht="17.100000000000001" customHeight="1">
      <c r="A19" s="15"/>
      <c r="B19" s="63" t="s">
        <v>578</v>
      </c>
      <c r="C19" s="8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89"/>
      <c r="AC19" s="89"/>
      <c r="AD19" s="89"/>
    </row>
    <row r="20" spans="1:30" s="62" customFormat="1" ht="17.100000000000001" customHeight="1">
      <c r="A20" s="15"/>
      <c r="B20" s="63" t="s">
        <v>579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89"/>
      <c r="AC20" s="89"/>
      <c r="AD20" s="89"/>
    </row>
    <row r="21" spans="1:30" s="62" customFormat="1" ht="17.100000000000001" customHeight="1">
      <c r="A21" s="15"/>
      <c r="B21" s="63" t="s">
        <v>571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89"/>
      <c r="AC21" s="89"/>
      <c r="AD21" s="89"/>
    </row>
    <row r="22" spans="1:30" s="69" customFormat="1" ht="17.100000000000001" customHeight="1" thickBot="1">
      <c r="A22" s="15"/>
      <c r="B22" s="68" t="s">
        <v>580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90"/>
      <c r="AC22" s="90"/>
      <c r="AD22" s="90"/>
    </row>
    <row r="23" spans="1:30" s="70" customFormat="1" ht="17.100000000000001" customHeight="1">
      <c r="A23" s="15"/>
      <c r="B23" s="63" t="s">
        <v>593</v>
      </c>
      <c r="C23" s="85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8"/>
      <c r="AC23" s="88"/>
      <c r="AD23" s="88"/>
    </row>
    <row r="24" spans="1:30" s="62" customFormat="1" ht="17.100000000000001" customHeight="1">
      <c r="A24" s="15"/>
      <c r="B24" s="63" t="s">
        <v>594</v>
      </c>
      <c r="C24" s="8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89"/>
      <c r="AC24" s="89"/>
      <c r="AD24" s="89"/>
    </row>
    <row r="25" spans="1:30" s="62" customFormat="1" ht="17.100000000000001" customHeight="1">
      <c r="A25" s="15"/>
      <c r="B25" s="63" t="s">
        <v>595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89"/>
      <c r="AC25" s="89"/>
      <c r="AD25" s="89"/>
    </row>
    <row r="26" spans="1:30" s="62" customFormat="1" ht="17.100000000000001" customHeight="1">
      <c r="A26" s="15"/>
      <c r="B26" s="63" t="s">
        <v>596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89"/>
      <c r="AC26" s="89"/>
      <c r="AD26" s="89"/>
    </row>
    <row r="27" spans="1:30" s="62" customFormat="1" ht="17.100000000000001" customHeight="1">
      <c r="A27" s="15"/>
      <c r="B27" s="63" t="s">
        <v>597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89"/>
      <c r="AC27" s="89"/>
      <c r="AD27" s="89"/>
    </row>
    <row r="28" spans="1:30" s="62" customFormat="1" ht="17.100000000000001" customHeight="1">
      <c r="A28" s="15"/>
      <c r="B28" s="63" t="s">
        <v>598</v>
      </c>
      <c r="C28" s="8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89"/>
      <c r="AC28" s="89"/>
      <c r="AD28" s="89"/>
    </row>
    <row r="29" spans="1:30" s="62" customFormat="1" ht="17.100000000000001" customHeight="1">
      <c r="A29" s="15"/>
      <c r="B29" s="63" t="s">
        <v>599</v>
      </c>
      <c r="C29" s="8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89"/>
      <c r="AC29" s="89"/>
      <c r="AD29" s="89"/>
    </row>
    <row r="30" spans="1:30" s="62" customFormat="1" ht="17.100000000000001" customHeight="1">
      <c r="A30" s="15"/>
      <c r="B30" s="63" t="s">
        <v>600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89"/>
      <c r="AC30" s="89"/>
      <c r="AD30" s="89"/>
    </row>
    <row r="31" spans="1:30" s="62" customFormat="1" ht="17.100000000000001" customHeight="1">
      <c r="A31" s="15"/>
      <c r="B31" s="63" t="s">
        <v>601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89"/>
      <c r="AC31" s="89"/>
      <c r="AD31" s="89"/>
    </row>
    <row r="32" spans="1:30" s="69" customFormat="1" ht="17.100000000000001" customHeight="1" thickBot="1">
      <c r="A32" s="15"/>
      <c r="B32" s="68" t="s">
        <v>602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90"/>
      <c r="AC32" s="90"/>
      <c r="AD32" s="90"/>
    </row>
    <row r="33" spans="3:27" ht="17.100000000000001" customHeight="1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3:27" ht="17.100000000000001" customHeight="1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3:27" ht="17.100000000000001" customHeight="1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3:27" ht="17.100000000000001" customHeight="1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3:27" ht="17.100000000000001" customHeight="1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3:27" ht="17.100000000000001" customHeight="1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3:27" ht="17.100000000000001" customHeight="1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3:27" ht="17.100000000000001" customHeight="1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3:27" ht="17.100000000000001" customHeight="1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3:27" ht="17.100000000000001" customHeight="1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3:27" ht="17.100000000000001" customHeight="1"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3:27" ht="17.100000000000001" customHeight="1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3:27" ht="17.100000000000001" customHeight="1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3:27" ht="17.100000000000001" customHeight="1"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3:27" ht="17.100000000000001" customHeight="1"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3:27" ht="17.100000000000001" customHeight="1"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3:27" ht="17.100000000000001" customHeight="1"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3:27" ht="17.100000000000001" customHeight="1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3:27" ht="17.100000000000001" customHeight="1"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3:27" ht="17.100000000000001" customHeight="1"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3:27" ht="17.100000000000001" customHeight="1"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3:27" ht="17.100000000000001" customHeight="1"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3:27" ht="17.100000000000001" customHeight="1"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3:27" ht="17.100000000000001" customHeight="1"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3:27" ht="17.100000000000001" customHeight="1"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3:27" ht="17.100000000000001" customHeight="1"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3:27" ht="17.100000000000001" customHeight="1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3:27" ht="17.100000000000001" customHeight="1"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3:27" ht="17.100000000000001" customHeight="1"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3:27" ht="17.100000000000001" customHeight="1"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3:27" ht="17.100000000000001" customHeight="1"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3:27" ht="17.100000000000001" customHeight="1"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3:27" ht="17.100000000000001" customHeight="1"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3:27" ht="17.100000000000001" customHeight="1"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3:27" ht="17.100000000000001" customHeight="1"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3:27" ht="17.100000000000001" customHeight="1"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3:27" ht="17.100000000000001" customHeight="1"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3:27" ht="17.100000000000001" customHeight="1"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3:27" ht="17.100000000000001" customHeight="1"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3:27" ht="17.100000000000001" customHeight="1"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3:27" ht="17.100000000000001" customHeight="1"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3:27" ht="17.100000000000001" customHeight="1"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3:27" ht="17.100000000000001" customHeight="1"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3:27" ht="17.100000000000001" customHeight="1"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3:27" ht="17.100000000000001" customHeight="1"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3:27" ht="17.100000000000001" customHeight="1"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3:27" ht="17.100000000000001" customHeight="1"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3:27" ht="17.100000000000001" customHeight="1"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3:27" ht="17.100000000000001" customHeight="1"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3:27" ht="17.100000000000001" customHeight="1"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3:27" ht="17.100000000000001" customHeight="1"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3:27" ht="17.100000000000001" customHeight="1"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3:27" ht="17.100000000000001" customHeight="1"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3:27" ht="17.100000000000001" customHeight="1"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3:27" ht="17.100000000000001" customHeight="1"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3:27" ht="17.100000000000001" customHeight="1"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3:27" ht="17.100000000000001" customHeight="1"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3:27" ht="17.100000000000001" customHeight="1"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3:27" ht="17.100000000000001" customHeight="1"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3:27" ht="17.100000000000001" customHeight="1"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3:27" ht="17.100000000000001" customHeight="1"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3:27" ht="17.100000000000001" customHeight="1"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3:27" ht="17.100000000000001" customHeight="1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3:27" ht="17.100000000000001" customHeight="1"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3:27" ht="17.100000000000001" customHeight="1"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3:27" ht="17.100000000000001" customHeight="1"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3:27" ht="17.100000000000001" customHeight="1"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3:27" ht="17.100000000000001" customHeight="1"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3:27" ht="17.100000000000001" customHeight="1"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3:27" ht="17.100000000000001" customHeight="1"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3:27" ht="17.100000000000001" customHeight="1"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3:27" ht="17.100000000000001" customHeight="1"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3:27" ht="17.100000000000001" customHeight="1"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3:27" ht="17.100000000000001" customHeight="1"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3:27" ht="17.100000000000001" customHeight="1"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3:27" ht="17.100000000000001" customHeight="1"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3:27" ht="17.100000000000001" customHeight="1"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3:27" ht="17.100000000000001" customHeight="1"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3:27" ht="17.100000000000001" customHeight="1"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3:27" ht="17.100000000000001" customHeight="1"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3:27" ht="17.100000000000001" customHeight="1"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3:27" ht="17.100000000000001" customHeight="1"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3:27" ht="17.100000000000001" customHeight="1"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3:27" ht="17.100000000000001" customHeight="1"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3:27" ht="17.100000000000001" customHeight="1"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3:27" ht="17.100000000000001" customHeight="1"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3:27" ht="17.100000000000001" customHeight="1"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3:27" ht="17.100000000000001" customHeight="1"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3:27" ht="17.100000000000001" customHeight="1"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3:27" ht="17.100000000000001" customHeight="1"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3:27" ht="17.100000000000001" customHeight="1"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3:27" ht="17.100000000000001" customHeight="1"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3:27" ht="17.100000000000001" customHeight="1"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3:27" ht="17.100000000000001" customHeight="1"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3:27" ht="17.100000000000001" customHeight="1"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3:27" ht="17.100000000000001" customHeight="1"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3:27" ht="17.100000000000001" customHeight="1"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3:27" ht="17.100000000000001" customHeight="1"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3:27" ht="17.100000000000001" customHeight="1"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3:27" ht="17.100000000000001" customHeight="1"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3:27" ht="17.100000000000001" customHeight="1"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3:27" ht="17.100000000000001" customHeight="1"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3:27" ht="17.100000000000001" customHeight="1"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3:27" ht="17.100000000000001" customHeight="1"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3:27" ht="17.100000000000001" customHeight="1"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3:27" ht="17.100000000000001" customHeight="1"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3:27" ht="17.100000000000001" customHeight="1"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3:27" ht="17.100000000000001" customHeight="1"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3:27" ht="17.100000000000001" customHeight="1"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3:27" ht="17.100000000000001" customHeight="1"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3:27" ht="17.100000000000001" customHeight="1"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3:27" ht="17.100000000000001" customHeight="1"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3:27" ht="17.100000000000001" customHeight="1"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3:27" ht="17.100000000000001" customHeight="1"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3:27" ht="17.100000000000001" customHeight="1"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3:27" ht="17.100000000000001" customHeight="1"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3:27" ht="17.100000000000001" customHeight="1"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3:27" ht="17.100000000000001" customHeight="1"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3:27" ht="17.100000000000001" customHeight="1"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3:27" ht="17.100000000000001" customHeight="1"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3:27" ht="17.100000000000001" customHeight="1"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3:27" ht="17.100000000000001" customHeight="1"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3:27" ht="17.100000000000001" customHeight="1"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3:27" ht="17.100000000000001" customHeight="1"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3:27" ht="17.100000000000001" customHeight="1"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3:27" ht="17.100000000000001" customHeight="1"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3:27" ht="17.100000000000001" customHeight="1"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3:27" ht="17.100000000000001" customHeight="1"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3:27" ht="17.100000000000001" customHeight="1"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3:27" ht="17.100000000000001" customHeight="1"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3:27" ht="17.100000000000001" customHeight="1"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3:27" ht="17.100000000000001" customHeight="1"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3:27" ht="17.100000000000001" customHeight="1"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3:27" ht="17.100000000000001" customHeight="1"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3:27" ht="17.100000000000001" customHeight="1"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3:27" ht="17.100000000000001" customHeight="1"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3:27" ht="17.100000000000001" customHeight="1"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3:27" ht="17.100000000000001" customHeight="1"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3:27" ht="17.100000000000001" customHeight="1"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3:27" ht="17.100000000000001" customHeight="1"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3:27" ht="17.100000000000001" customHeight="1"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3:27" ht="17.100000000000001" customHeight="1"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3:27" ht="17.100000000000001" customHeight="1"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3:27" ht="17.100000000000001" customHeight="1"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3:27" ht="17.100000000000001" customHeight="1"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3:27" ht="17.100000000000001" customHeight="1"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3:27" ht="17.100000000000001" customHeight="1"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3:27" ht="17.100000000000001" customHeight="1"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3:27" ht="17.100000000000001" customHeight="1"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3:27" ht="17.100000000000001" customHeight="1"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3:27" ht="17.100000000000001" customHeight="1"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3:27" ht="17.100000000000001" customHeight="1"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3:27" ht="17.100000000000001" customHeight="1"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3:27" ht="17.100000000000001" customHeight="1"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3:27" ht="17.100000000000001" customHeight="1"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3:27" ht="17.100000000000001" customHeight="1"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3:27" ht="17.100000000000001" customHeight="1"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3:27" ht="17.100000000000001" customHeight="1"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3:27" ht="17.100000000000001" customHeight="1"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3:27" ht="17.100000000000001" customHeight="1"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3:27" ht="17.100000000000001" customHeight="1"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3:27" ht="17.100000000000001" customHeight="1"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3:27" ht="17.100000000000001" customHeight="1"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3:27" ht="17.100000000000001" customHeight="1"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3:27" ht="17.100000000000001" customHeight="1"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3:27" ht="17.100000000000001" customHeight="1"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3:27" ht="17.100000000000001" customHeight="1"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3:27" ht="17.100000000000001" customHeight="1"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3:27" ht="17.100000000000001" customHeight="1"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3:27" ht="17.100000000000001" customHeight="1"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3:27" ht="17.100000000000001" customHeight="1"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3:27" ht="17.100000000000001" customHeight="1"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3:27" ht="17.100000000000001" customHeight="1"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3:27" ht="17.100000000000001" customHeight="1"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3:27" ht="17.100000000000001" customHeight="1"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3:27" ht="17.100000000000001" customHeight="1"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3:27" ht="17.100000000000001" customHeight="1"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3:27" ht="17.100000000000001" customHeight="1"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3:27" ht="17.100000000000001" customHeight="1"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3:27" ht="17.100000000000001" customHeight="1"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3:27" ht="17.100000000000001" customHeight="1"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3:27" ht="17.100000000000001" customHeight="1"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3:27" ht="17.100000000000001" customHeight="1"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3:27" ht="17.100000000000001" customHeight="1"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3:27" ht="17.100000000000001" customHeight="1"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3:27" ht="17.100000000000001" customHeight="1"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3:27" ht="17.100000000000001" customHeight="1"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3:27" ht="17.100000000000001" customHeight="1"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3:27" ht="17.100000000000001" customHeight="1"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3:27" ht="17.100000000000001" customHeight="1"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3:27" ht="17.100000000000001" customHeight="1"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3:27" ht="17.100000000000001" customHeight="1"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3:27" ht="17.100000000000001" customHeight="1"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3:27" ht="17.100000000000001" customHeight="1"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3:27" ht="17.100000000000001" customHeight="1"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3:27" ht="17.100000000000001" customHeight="1"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3:27" ht="17.100000000000001" customHeight="1"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3:27" ht="17.100000000000001" customHeight="1"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3:27" ht="17.100000000000001" customHeight="1"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3:27" ht="17.100000000000001" customHeight="1"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3:27" ht="17.100000000000001" customHeight="1"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3:27" ht="17.100000000000001" customHeight="1"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3:27" ht="17.100000000000001" customHeight="1"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3:27" ht="17.100000000000001" customHeight="1"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3:27" ht="17.100000000000001" customHeight="1"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3:27" ht="17.100000000000001" customHeight="1"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3:27" ht="17.100000000000001" customHeight="1"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3:27" ht="17.100000000000001" customHeight="1"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3:27" ht="17.100000000000001" customHeight="1"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3:27" ht="17.100000000000001" customHeight="1"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3:27" ht="17.100000000000001" customHeight="1"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3:27" ht="17.100000000000001" customHeight="1"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3:27" ht="17.100000000000001" customHeight="1"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3:27" ht="17.100000000000001" customHeight="1"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3:27" ht="17.100000000000001" customHeight="1"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3:27" ht="17.100000000000001" customHeight="1"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3:27" ht="17.100000000000001" customHeight="1"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3:27" ht="17.100000000000001" customHeight="1"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3:27" ht="17.100000000000001" customHeight="1"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3:27" ht="17.100000000000001" customHeight="1"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3:27" ht="17.100000000000001" customHeight="1"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3:27" ht="17.100000000000001" customHeight="1"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3:27" ht="17.100000000000001" customHeight="1"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3:27" ht="17.100000000000001" customHeight="1"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3:27" ht="17.100000000000001" customHeight="1"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3:27" ht="17.100000000000001" customHeight="1"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3:27" ht="17.100000000000001" customHeight="1"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3:27" ht="17.100000000000001" customHeight="1"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3:27" ht="17.100000000000001" customHeight="1"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3:27" ht="17.100000000000001" customHeight="1"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3:27" ht="17.100000000000001" customHeight="1"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3:27" ht="17.100000000000001" customHeight="1"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3:27" ht="17.100000000000001" customHeight="1"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3:27" ht="17.100000000000001" customHeight="1"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3:27" ht="17.100000000000001" customHeight="1"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3:27" ht="17.100000000000001" customHeight="1"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3:27" ht="17.100000000000001" customHeight="1"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3:27" ht="17.100000000000001" customHeight="1"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3:27" ht="17.100000000000001" customHeight="1"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3:27" ht="17.100000000000001" customHeight="1"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3:27" ht="17.100000000000001" customHeight="1"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3:27" ht="17.100000000000001" customHeight="1"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3:27" ht="17.100000000000001" customHeight="1"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3:27" ht="17.100000000000001" customHeight="1"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3:27" ht="17.100000000000001" customHeight="1"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3:27" ht="17.100000000000001" customHeight="1"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3:27" ht="17.100000000000001" customHeight="1"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3:27" ht="17.100000000000001" customHeight="1"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3:27" ht="17.100000000000001" customHeight="1"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3:27" ht="17.100000000000001" customHeight="1"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3:27" ht="17.100000000000001" customHeight="1"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3:27" ht="17.100000000000001" customHeight="1"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3:27" ht="17.100000000000001" customHeight="1"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3:27" ht="17.100000000000001" customHeight="1"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3:27" ht="17.100000000000001" customHeight="1"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3:27" ht="17.100000000000001" customHeight="1"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3:27" ht="17.100000000000001" customHeight="1"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3:27" ht="17.100000000000001" customHeight="1"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3:27" ht="17.100000000000001" customHeight="1"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3:27" ht="17.100000000000001" customHeight="1"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3:27" ht="17.100000000000001" customHeight="1"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3:27" ht="17.100000000000001" customHeight="1"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3:27" ht="17.100000000000001" customHeight="1"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3:27" ht="17.100000000000001" customHeight="1"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3:27" ht="17.100000000000001" customHeight="1"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3:27" ht="17.100000000000001" customHeight="1"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3:27" ht="17.100000000000001" customHeight="1"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3:27" ht="17.100000000000001" customHeight="1"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3:27" ht="17.100000000000001" customHeight="1"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3:27" ht="17.100000000000001" customHeight="1"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3:27" ht="17.100000000000001" customHeight="1"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3:27" ht="17.100000000000001" customHeight="1"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3:27" ht="17.100000000000001" customHeight="1"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3:27" ht="17.100000000000001" customHeight="1"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3:27" ht="17.100000000000001" customHeight="1"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3:27" ht="17.100000000000001" customHeight="1"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3:27" ht="17.100000000000001" customHeight="1"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3:27" ht="17.100000000000001" customHeight="1"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3:27" ht="17.100000000000001" customHeight="1"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3:27" ht="17.100000000000001" customHeight="1"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3:27" ht="17.100000000000001" customHeight="1"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3:27" ht="17.100000000000001" customHeight="1"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3:27" ht="17.100000000000001" customHeight="1"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3:27" ht="17.100000000000001" customHeight="1"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3:27" ht="17.100000000000001" customHeight="1"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3:27" ht="17.100000000000001" customHeight="1"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3:27" ht="17.100000000000001" customHeight="1"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3:27" ht="17.100000000000001" customHeight="1"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3:27" ht="17.100000000000001" customHeight="1"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3:27" ht="17.100000000000001" customHeight="1"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3:27" ht="17.100000000000001" customHeight="1"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3:27" ht="17.100000000000001" customHeight="1"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3:27" ht="17.100000000000001" customHeight="1"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3:27" ht="17.100000000000001" customHeight="1"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3:27" ht="17.100000000000001" customHeight="1"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3:27" ht="17.100000000000001" customHeight="1"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3:27" ht="17.100000000000001" customHeight="1"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3:27" ht="17.100000000000001" customHeight="1"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3:27" ht="17.100000000000001" customHeight="1"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3:27" ht="17.100000000000001" customHeight="1"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3:27" ht="17.100000000000001" customHeight="1"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3:27" ht="17.100000000000001" customHeight="1"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3:27" ht="17.100000000000001" customHeight="1"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3:27" ht="17.100000000000001" customHeight="1"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3:27" ht="17.100000000000001" customHeight="1"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3:27" ht="17.100000000000001" customHeight="1"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3:27" ht="17.100000000000001" customHeight="1"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3:27" ht="17.100000000000001" customHeight="1"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3:27" ht="17.100000000000001" customHeight="1"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3:27" ht="17.100000000000001" customHeight="1"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3:27" ht="17.100000000000001" customHeight="1"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3:27" ht="17.100000000000001" customHeight="1"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3:27" ht="17.100000000000001" customHeight="1"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3:27" ht="17.100000000000001" customHeight="1"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3:27" ht="17.100000000000001" customHeight="1"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3:27" ht="17.100000000000001" customHeight="1"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3:27" ht="17.100000000000001" customHeight="1"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3:27" ht="17.100000000000001" customHeight="1"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3:27" ht="17.100000000000001" customHeight="1"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3:27" ht="17.100000000000001" customHeight="1"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3:27" ht="17.100000000000001" customHeight="1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3:27" ht="17.100000000000001" customHeight="1"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3:27" ht="17.100000000000001" customHeight="1"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3:27" ht="17.100000000000001" customHeight="1"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3:27" ht="17.100000000000001" customHeight="1"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3:27" ht="17.100000000000001" customHeight="1"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3:27" ht="17.100000000000001" customHeight="1"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3:27" ht="17.100000000000001" customHeight="1"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3:27" ht="17.100000000000001" customHeight="1"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3:27" ht="17.100000000000001" customHeight="1"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3:27" ht="17.100000000000001" customHeight="1"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3:27" ht="17.100000000000001" customHeight="1"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3:27" ht="17.100000000000001" customHeight="1"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3:27" ht="17.100000000000001" customHeight="1"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3:27" ht="17.100000000000001" customHeight="1"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3:27" ht="17.100000000000001" customHeight="1"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3:27" ht="17.100000000000001" customHeight="1"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3:27" ht="17.100000000000001" customHeight="1"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3:27" ht="17.100000000000001" customHeight="1"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3:27" ht="17.100000000000001" customHeight="1"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3:27" ht="17.100000000000001" customHeight="1"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3:27" ht="17.100000000000001" customHeight="1"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3:27" ht="17.100000000000001" customHeight="1"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3:27" ht="17.100000000000001" customHeight="1"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3:27" ht="17.100000000000001" customHeight="1"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3:27" ht="17.100000000000001" customHeight="1"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3:27" ht="17.100000000000001" customHeight="1"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3:27" ht="17.100000000000001" customHeight="1"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3:27" ht="17.100000000000001" customHeight="1"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3:27" ht="17.100000000000001" customHeight="1"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3:27" ht="17.100000000000001" customHeight="1"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3:27" ht="17.100000000000001" customHeight="1"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3:27" ht="17.100000000000001" customHeight="1"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3:27" ht="17.100000000000001" customHeight="1"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3:27" ht="17.100000000000001" customHeight="1"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3:27" ht="17.100000000000001" customHeight="1"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3:27" ht="17.100000000000001" customHeight="1"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3:27" ht="17.100000000000001" customHeight="1"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3:27" ht="17.100000000000001" customHeight="1"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3:27" ht="17.100000000000001" customHeight="1"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3:27" ht="17.100000000000001" customHeight="1"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3:27" ht="17.100000000000001" customHeight="1"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3:27" ht="17.100000000000001" customHeight="1"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3:27" ht="17.100000000000001" customHeight="1"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3:27" ht="17.100000000000001" customHeight="1"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3:27" ht="17.100000000000001" customHeight="1"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3:27" ht="17.100000000000001" customHeight="1"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3:27" ht="17.100000000000001" customHeight="1"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3:27" ht="17.100000000000001" customHeight="1"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3:27" ht="17.100000000000001" customHeight="1"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3:27" ht="17.100000000000001" customHeight="1"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3:27" ht="17.100000000000001" customHeight="1"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3:27" ht="17.100000000000001" customHeight="1"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3:27" ht="17.100000000000001" customHeight="1"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3:27" ht="17.100000000000001" customHeight="1"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3:27" ht="17.100000000000001" customHeight="1"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3:27" ht="17.100000000000001" customHeight="1"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3:27" ht="17.100000000000001" customHeight="1"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3:27" ht="17.100000000000001" customHeight="1"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3:27" ht="17.100000000000001" customHeight="1"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3:27" ht="17.100000000000001" customHeight="1"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3:27" ht="17.100000000000001" customHeight="1"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3:27" ht="17.100000000000001" customHeight="1"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3:27" ht="17.100000000000001" customHeight="1"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3:27" ht="17.100000000000001" customHeight="1"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3:27" ht="17.100000000000001" customHeight="1"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3:27" ht="17.100000000000001" customHeight="1"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3:27" ht="17.100000000000001" customHeight="1"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3:27" ht="17.100000000000001" customHeight="1"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3:27" ht="17.100000000000001" customHeight="1"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3:27" ht="17.100000000000001" customHeight="1"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3:27" ht="17.100000000000001" customHeight="1"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3:27" ht="17.100000000000001" customHeight="1"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3:27" ht="17.100000000000001" customHeight="1"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3:27" ht="17.100000000000001" customHeight="1"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3:27" ht="17.100000000000001" customHeight="1"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3:27" ht="17.100000000000001" customHeight="1"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3:27" ht="17.100000000000001" customHeight="1"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3:27" ht="17.100000000000001" customHeight="1"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3:27" ht="17.100000000000001" customHeight="1"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3:27" ht="17.100000000000001" customHeight="1"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3:27" ht="17.100000000000001" customHeight="1"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3:27" ht="17.100000000000001" customHeight="1"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3:27" ht="17.100000000000001" customHeight="1"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3:27" ht="17.100000000000001" customHeight="1"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3:27" ht="17.100000000000001" customHeight="1"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3:27" ht="17.100000000000001" customHeight="1"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3:27" ht="17.100000000000001" customHeight="1"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3:27" ht="17.100000000000001" customHeight="1"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3:27" ht="17.100000000000001" customHeight="1"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3:27" ht="17.100000000000001" customHeight="1"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3:27" ht="17.100000000000001" customHeight="1"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3:27" ht="17.100000000000001" customHeight="1"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3:27" ht="17.100000000000001" customHeight="1"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3:27" ht="17.100000000000001" customHeight="1"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3:27" ht="17.100000000000001" customHeight="1"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3:27" ht="17.100000000000001" customHeight="1"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3:27" ht="17.100000000000001" customHeight="1"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3:27" ht="17.100000000000001" customHeight="1"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3:27" ht="17.100000000000001" customHeight="1"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3:27" ht="17.100000000000001" customHeight="1"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3:27" ht="17.100000000000001" customHeight="1"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3:27" ht="17.100000000000001" customHeight="1"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3:27" ht="17.100000000000001" customHeight="1"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3:27" ht="17.100000000000001" customHeight="1"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3:27" ht="17.100000000000001" customHeight="1"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3:27" ht="17.100000000000001" customHeight="1"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3:27" ht="17.100000000000001" customHeight="1"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3:27" ht="17.100000000000001" customHeight="1"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3:27" ht="17.100000000000001" customHeight="1"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3:27" ht="17.100000000000001" customHeight="1"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3:27" ht="17.100000000000001" customHeight="1"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3:27" ht="17.100000000000001" customHeight="1"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3:27" ht="17.100000000000001" customHeight="1"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3:27" ht="17.100000000000001" customHeight="1"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3:27" ht="17.100000000000001" customHeight="1"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3:27" ht="17.100000000000001" customHeight="1"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3:27" ht="17.100000000000001" customHeight="1"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3:27" ht="17.100000000000001" customHeight="1"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3:27" ht="17.100000000000001" customHeight="1"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3:27" ht="17.100000000000001" customHeight="1"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3:27" ht="17.100000000000001" customHeight="1"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3:27" ht="17.100000000000001" customHeight="1"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3:27" ht="17.100000000000001" customHeight="1"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3:27" ht="17.100000000000001" customHeight="1"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3:27" ht="17.100000000000001" customHeight="1"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3:27" ht="17.100000000000001" customHeight="1"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3:27" ht="17.100000000000001" customHeight="1"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3:27" ht="17.100000000000001" customHeight="1"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3:27" ht="17.100000000000001" customHeight="1"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3:27" ht="17.100000000000001" customHeight="1"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3:27" ht="17.100000000000001" customHeight="1"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3:27" ht="17.100000000000001" customHeight="1"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3:27" ht="17.100000000000001" customHeight="1"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3:27" ht="17.100000000000001" customHeight="1"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3:27" ht="17.100000000000001" customHeight="1"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3:27" ht="17.100000000000001" customHeight="1"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3:27" ht="17.100000000000001" customHeight="1"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3:27" ht="17.100000000000001" customHeight="1"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3:27" ht="17.100000000000001" customHeight="1"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3:27" ht="17.100000000000001" customHeight="1"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3:27" ht="17.100000000000001" customHeight="1"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3:27" ht="17.100000000000001" customHeight="1"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3:27" ht="17.100000000000001" customHeight="1"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3:27" ht="17.100000000000001" customHeight="1"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3:27" ht="17.100000000000001" customHeight="1"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3:27" ht="17.100000000000001" customHeight="1"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3:27" ht="17.100000000000001" customHeight="1"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3:27" ht="17.100000000000001" customHeight="1"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3:27" ht="17.100000000000001" customHeight="1"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3:27" ht="17.100000000000001" customHeight="1"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3:27" ht="17.100000000000001" customHeight="1"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3:27" ht="17.100000000000001" customHeight="1"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3:27" ht="17.100000000000001" customHeight="1"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3:27" ht="17.100000000000001" customHeight="1"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3:27" ht="17.100000000000001" customHeight="1"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3:27" ht="17.100000000000001" customHeight="1"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3:27" ht="17.100000000000001" customHeight="1"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3:27" ht="17.100000000000001" customHeight="1"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3:27" ht="17.100000000000001" customHeight="1"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3:27" ht="17.100000000000001" customHeight="1"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3:27" ht="17.100000000000001" customHeight="1"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3:27" ht="17.100000000000001" customHeight="1"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3:27" ht="17.100000000000001" customHeight="1"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3:27" ht="17.100000000000001" customHeight="1"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3:27" ht="17.100000000000001" customHeight="1"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3:27" ht="17.100000000000001" customHeight="1"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3:27" ht="17.100000000000001" customHeight="1"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3:27" ht="17.100000000000001" customHeight="1"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3:27" ht="17.100000000000001" customHeight="1"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3:27" ht="17.100000000000001" customHeight="1"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3:27" ht="17.100000000000001" customHeight="1"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3:27" ht="17.100000000000001" customHeight="1"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3:27" ht="17.100000000000001" customHeight="1"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3:27" ht="17.100000000000001" customHeight="1"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3:27" ht="17.100000000000001" customHeight="1"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3:27" ht="17.100000000000001" customHeight="1"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3:27" ht="17.100000000000001" customHeight="1"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3:27" ht="17.100000000000001" customHeight="1"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3:27" ht="17.100000000000001" customHeight="1"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3:27" ht="17.100000000000001" customHeight="1"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3:27" ht="17.100000000000001" customHeight="1"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3:27" ht="17.100000000000001" customHeight="1"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3:27" ht="17.100000000000001" customHeight="1"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3:27" ht="17.100000000000001" customHeight="1"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3:27" ht="17.100000000000001" customHeight="1"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3:27" ht="17.100000000000001" customHeight="1"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3:27" ht="17.100000000000001" customHeight="1"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3:27" ht="17.100000000000001" customHeight="1"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3:27" ht="17.100000000000001" customHeight="1"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3:27" ht="17.100000000000001" customHeight="1"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3:27" ht="17.100000000000001" customHeight="1"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3:27" ht="17.100000000000001" customHeight="1"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3:27" ht="17.100000000000001" customHeight="1"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3:27" ht="17.100000000000001" customHeight="1"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3:27" ht="17.100000000000001" customHeight="1"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3:27" ht="17.100000000000001" customHeight="1"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3:27" ht="17.100000000000001" customHeight="1"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3:27" ht="17.100000000000001" customHeight="1"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3:27" ht="17.100000000000001" customHeight="1"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3:27" ht="17.100000000000001" customHeight="1"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3:27" ht="17.100000000000001" customHeight="1"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3:27" ht="17.100000000000001" customHeight="1"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3:27" ht="17.100000000000001" customHeight="1"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3:27" ht="17.100000000000001" customHeight="1"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3:27" ht="17.100000000000001" customHeight="1"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3:27" ht="17.100000000000001" customHeight="1"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3:27" ht="17.100000000000001" customHeight="1"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3:27" ht="17.100000000000001" customHeight="1"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3:27" ht="17.100000000000001" customHeight="1"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3:27" ht="17.100000000000001" customHeight="1"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3:27" ht="17.100000000000001" customHeight="1"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3:27" ht="17.100000000000001" customHeight="1"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3:27" ht="17.100000000000001" customHeight="1"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3:27" ht="17.100000000000001" customHeight="1"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3:27" ht="17.100000000000001" customHeight="1"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3:27" ht="17.100000000000001" customHeight="1"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3:27" ht="17.100000000000001" customHeight="1"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3:27" ht="17.100000000000001" customHeight="1"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3:27" ht="17.100000000000001" customHeight="1"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3:27" ht="17.100000000000001" customHeight="1"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3:27" ht="17.100000000000001" customHeight="1"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3:27" ht="17.100000000000001" customHeight="1"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3:27" ht="17.100000000000001" customHeight="1"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3:27" ht="17.100000000000001" customHeight="1"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3:27" ht="17.100000000000001" customHeight="1"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3:27" ht="17.100000000000001" customHeight="1"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3:27" ht="17.100000000000001" customHeight="1"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3:27" ht="17.100000000000001" customHeight="1"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3:27" ht="17.100000000000001" customHeight="1"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3:27" ht="17.100000000000001" customHeight="1"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3:27" ht="17.100000000000001" customHeight="1"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3:27" ht="17.100000000000001" customHeight="1"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3:27" ht="17.100000000000001" customHeight="1"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3:27" ht="17.100000000000001" customHeight="1"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3:27" ht="17.100000000000001" customHeight="1"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3:27" ht="17.100000000000001" customHeight="1"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3:27" ht="17.100000000000001" customHeight="1"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3:27" ht="17.100000000000001" customHeight="1"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3:27" ht="17.100000000000001" customHeight="1"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3:27" ht="17.100000000000001" customHeight="1"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3:27" ht="17.100000000000001" customHeight="1"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3:27" ht="17.100000000000001" customHeight="1"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3:27" ht="17.100000000000001" customHeight="1"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3:27" ht="17.100000000000001" customHeight="1"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3:27" ht="17.100000000000001" customHeight="1"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3:27" ht="17.100000000000001" customHeight="1"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3:27" ht="17.100000000000001" customHeight="1"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3:27" ht="17.100000000000001" customHeight="1"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3:27" ht="17.100000000000001" customHeight="1"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3:27" ht="17.100000000000001" customHeight="1"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3:27" ht="17.100000000000001" customHeight="1"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3:27" ht="17.100000000000001" customHeight="1"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3:27" ht="17.100000000000001" customHeight="1"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3:27" ht="17.100000000000001" customHeight="1"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3:27" ht="17.100000000000001" customHeight="1"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3:27" ht="17.100000000000001" customHeight="1"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3:27" ht="17.100000000000001" customHeight="1"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3:27" ht="17.100000000000001" customHeight="1"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3:27" ht="17.100000000000001" customHeight="1"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3:27" ht="17.100000000000001" customHeight="1"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3:27" ht="17.100000000000001" customHeight="1"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3:27" ht="17.100000000000001" customHeight="1"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3:27" ht="17.100000000000001" customHeight="1"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3:27" ht="17.100000000000001" customHeight="1"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3:27" ht="17.100000000000001" customHeight="1"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3:27" ht="17.100000000000001" customHeight="1"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3:27" ht="17.100000000000001" customHeight="1"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3:27" ht="17.100000000000001" customHeight="1"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3:27" ht="17.100000000000001" customHeight="1"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3:27" ht="17.100000000000001" customHeight="1"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3:27" ht="17.100000000000001" customHeight="1"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3:27" ht="17.100000000000001" customHeight="1"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3:27" ht="17.100000000000001" customHeight="1"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3:27" ht="17.100000000000001" customHeight="1"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3:27" ht="17.100000000000001" customHeight="1"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3:27" ht="17.100000000000001" customHeight="1"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3:27" ht="17.100000000000001" customHeight="1"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3:27" ht="17.100000000000001" customHeight="1"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3:27" ht="17.100000000000001" customHeight="1"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3:27" ht="17.100000000000001" customHeight="1"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3:27" ht="17.100000000000001" customHeight="1"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3:27" ht="17.100000000000001" customHeight="1"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3:27" ht="17.100000000000001" customHeight="1"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3:27" ht="17.100000000000001" customHeight="1"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3:27" ht="17.100000000000001" customHeight="1"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3:27" ht="17.100000000000001" customHeight="1"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3:27" ht="17.100000000000001" customHeight="1"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3:27" ht="17.100000000000001" customHeight="1"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3:27" ht="17.100000000000001" customHeight="1"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3:27" ht="17.100000000000001" customHeight="1"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3:27" ht="17.100000000000001" customHeight="1"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3:27" ht="17.100000000000001" customHeight="1"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3:27" ht="17.100000000000001" customHeight="1"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3:27" ht="17.100000000000001" customHeight="1"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3:27" ht="17.100000000000001" customHeight="1"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3:27" ht="17.100000000000001" customHeight="1"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3:27" ht="17.100000000000001" customHeight="1"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3:27" ht="17.100000000000001" customHeight="1"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3:27" ht="17.100000000000001" customHeight="1"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3:27" ht="17.100000000000001" customHeight="1"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3:27" ht="17.100000000000001" customHeight="1"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3:27" ht="17.100000000000001" customHeight="1"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3:27" ht="17.100000000000001" customHeight="1"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3:27" ht="17.100000000000001" customHeight="1"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3:27" ht="17.100000000000001" customHeight="1"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3:27" ht="17.100000000000001" customHeight="1"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3:27" ht="17.100000000000001" customHeight="1"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3:27" ht="17.100000000000001" customHeight="1"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3:27" ht="17.100000000000001" customHeight="1"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3:27" ht="17.100000000000001" customHeight="1"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3:27" ht="17.100000000000001" customHeight="1"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3:27" ht="17.100000000000001" customHeight="1"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3:27" ht="17.100000000000001" customHeight="1"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3:27" ht="17.100000000000001" customHeight="1"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3:27" ht="17.100000000000001" customHeight="1"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3:27" ht="17.100000000000001" customHeight="1"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3:27" ht="17.100000000000001" customHeight="1"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3:27" ht="17.100000000000001" customHeight="1"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3:27" ht="17.100000000000001" customHeight="1"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3:27" ht="17.100000000000001" customHeight="1"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3:27" ht="17.100000000000001" customHeight="1"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3:27" ht="17.100000000000001" customHeight="1"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3:27" ht="17.100000000000001" customHeight="1"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3:27" ht="17.100000000000001" customHeight="1"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3:27" ht="17.100000000000001" customHeight="1"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3:27" ht="17.100000000000001" customHeight="1"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3:27" ht="17.100000000000001" customHeight="1"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3:27" ht="17.100000000000001" customHeight="1"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3:27" ht="17.100000000000001" customHeight="1"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3:27" ht="17.100000000000001" customHeight="1"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3:27" ht="17.100000000000001" customHeight="1"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3:27" ht="17.100000000000001" customHeight="1"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3:27" ht="17.100000000000001" customHeight="1"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3:27" ht="17.100000000000001" customHeight="1"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3:27" ht="17.100000000000001" customHeight="1"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3:27" ht="17.100000000000001" customHeight="1"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3:27" ht="17.100000000000001" customHeight="1"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3:27" ht="17.100000000000001" customHeight="1"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3:27" ht="17.100000000000001" customHeight="1"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3:27" ht="17.100000000000001" customHeight="1"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3:27" ht="17.100000000000001" customHeight="1"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3:27" ht="17.100000000000001" customHeight="1"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3:27" ht="17.100000000000001" customHeight="1"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3:27" ht="17.100000000000001" customHeight="1"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3:27" ht="17.100000000000001" customHeight="1"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3:27" ht="17.100000000000001" customHeight="1"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3:27" ht="17.100000000000001" customHeight="1"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3:27" ht="17.100000000000001" customHeight="1"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3:27" ht="17.100000000000001" customHeight="1"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3:27" ht="17.100000000000001" customHeight="1"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3:27" ht="17.100000000000001" customHeight="1"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3:27" ht="17.100000000000001" customHeight="1"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3:27" ht="17.100000000000001" customHeight="1"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3:27" ht="17.100000000000001" customHeight="1"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3:27" ht="17.100000000000001" customHeight="1"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3:27" ht="17.100000000000001" customHeight="1"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3:27" ht="17.100000000000001" customHeight="1"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3:27" ht="17.100000000000001" customHeight="1"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3:27" ht="17.100000000000001" customHeight="1"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3:27" ht="17.100000000000001" customHeight="1"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3:27" ht="17.100000000000001" customHeight="1"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3:27" ht="17.100000000000001" customHeight="1"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3:27" ht="17.100000000000001" customHeight="1"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3:27" ht="17.100000000000001" customHeight="1"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3:27" ht="17.100000000000001" customHeight="1"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3:27" ht="17.100000000000001" customHeight="1"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3:27" ht="17.100000000000001" customHeight="1"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3:27" ht="17.100000000000001" customHeight="1"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3:27" ht="17.100000000000001" customHeight="1"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3:27" ht="17.100000000000001" customHeight="1"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3:27" ht="17.100000000000001" customHeight="1"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3:27" ht="17.100000000000001" customHeight="1"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3:27" ht="17.100000000000001" customHeight="1"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3:27" ht="17.100000000000001" customHeight="1"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3:27" ht="17.100000000000001" customHeight="1"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3:27" ht="17.100000000000001" customHeight="1"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3:27" ht="17.100000000000001" customHeight="1"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3:27" ht="17.100000000000001" customHeight="1"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3:27" ht="17.100000000000001" customHeight="1"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3:27" ht="17.100000000000001" customHeight="1"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3:27" ht="17.100000000000001" customHeight="1"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3:27" ht="17.100000000000001" customHeight="1"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3:27" ht="17.100000000000001" customHeight="1"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3:27" ht="17.100000000000001" customHeight="1"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3:27" ht="17.100000000000001" customHeight="1"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3:27" ht="17.100000000000001" customHeight="1"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3:27" ht="17.100000000000001" customHeight="1"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3:27" ht="17.100000000000001" customHeight="1"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3:27" ht="17.100000000000001" customHeight="1"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3:27" ht="17.100000000000001" customHeight="1"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3:27" ht="17.100000000000001" customHeight="1"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3:27" ht="17.100000000000001" customHeight="1"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3:27" ht="17.100000000000001" customHeight="1"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3:27" ht="17.100000000000001" customHeight="1"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3:27" ht="17.100000000000001" customHeight="1"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3:27" ht="17.100000000000001" customHeight="1"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3:27" ht="17.100000000000001" customHeight="1"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3:27" ht="17.100000000000001" customHeight="1"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3:27" ht="17.100000000000001" customHeight="1"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3:27" ht="17.100000000000001" customHeight="1"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3:27" ht="17.100000000000001" customHeight="1"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3:27" ht="17.100000000000001" customHeight="1"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3:27" ht="17.100000000000001" customHeight="1"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3:27" ht="17.100000000000001" customHeight="1"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3:27" ht="17.100000000000001" customHeight="1"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3:27" ht="17.100000000000001" customHeight="1"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3:27" ht="17.100000000000001" customHeight="1"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3:27" ht="17.100000000000001" customHeight="1"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3:27" ht="17.100000000000001" customHeight="1"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3:27" ht="17.100000000000001" customHeight="1"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3:27" ht="17.100000000000001" customHeight="1"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3:27" ht="17.100000000000001" customHeight="1"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3:27" ht="17.100000000000001" customHeight="1"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3:27" ht="17.100000000000001" customHeight="1"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3:27" ht="17.100000000000001" customHeight="1"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3:27" ht="17.100000000000001" customHeight="1"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3:27" ht="17.100000000000001" customHeight="1"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3:27" ht="17.100000000000001" customHeight="1"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3:27" ht="17.100000000000001" customHeight="1"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3:27" ht="17.100000000000001" customHeight="1"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3:27" ht="17.100000000000001" customHeight="1"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3:27" ht="17.100000000000001" customHeight="1"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3:27" ht="17.100000000000001" customHeight="1"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3:27" ht="17.100000000000001" customHeight="1"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3:27" ht="17.100000000000001" customHeight="1"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3:27" ht="17.100000000000001" customHeight="1"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3:27" ht="17.100000000000001" customHeight="1"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3:27" ht="17.100000000000001" customHeight="1"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3:27" ht="17.100000000000001" customHeight="1"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3:27" ht="17.100000000000001" customHeight="1"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3:27" ht="17.100000000000001" customHeight="1"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3:27" ht="17.100000000000001" customHeight="1"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3:27" ht="17.100000000000001" customHeight="1"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3:27" ht="17.100000000000001" customHeight="1"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3:27" ht="17.100000000000001" customHeight="1"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3:27" ht="17.100000000000001" customHeight="1"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3:27" ht="17.100000000000001" customHeight="1"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3:27" ht="17.100000000000001" customHeight="1"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3:27" ht="17.100000000000001" customHeight="1"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3:27" ht="17.100000000000001" customHeight="1"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3:27" ht="17.100000000000001" customHeight="1"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3:27" ht="17.100000000000001" customHeight="1"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3:27" ht="17.100000000000001" customHeight="1"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3:27" ht="17.100000000000001" customHeight="1"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3:27" ht="17.100000000000001" customHeight="1"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3:27" ht="17.100000000000001" customHeight="1"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3:27" ht="17.100000000000001" customHeight="1"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3:27" ht="17.100000000000001" customHeight="1"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3:27" ht="17.100000000000001" customHeight="1"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3:27" ht="17.100000000000001" customHeight="1"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3:27" ht="17.100000000000001" customHeight="1"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3:27" ht="17.100000000000001" customHeight="1"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3:27" ht="17.100000000000001" customHeight="1"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3:27" ht="17.100000000000001" customHeight="1"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3:27" ht="17.100000000000001" customHeight="1"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3:27" ht="17.100000000000001" customHeight="1"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3:27" ht="17.100000000000001" customHeight="1"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3:27" ht="17.100000000000001" customHeight="1"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3:27" ht="17.100000000000001" customHeight="1"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3:27" ht="17.100000000000001" customHeight="1"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3:27" ht="17.100000000000001" customHeight="1"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3:27" ht="17.100000000000001" customHeight="1"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3:27" ht="17.100000000000001" customHeight="1"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3:27" ht="17.100000000000001" customHeight="1"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3:27" ht="17.100000000000001" customHeight="1"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3:27" ht="17.100000000000001" customHeight="1"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3:27" ht="17.100000000000001" customHeight="1"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3:27" ht="17.100000000000001" customHeight="1"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3:27" ht="17.100000000000001" customHeight="1"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3:27" ht="17.100000000000001" customHeight="1"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3:27" ht="17.100000000000001" customHeight="1"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3:27" ht="17.100000000000001" customHeight="1"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3:27" ht="17.100000000000001" customHeight="1"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3:27" ht="17.100000000000001" customHeight="1"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3:27" ht="17.100000000000001" customHeight="1"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3:27" ht="17.100000000000001" customHeight="1"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3:27" ht="17.100000000000001" customHeight="1"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3:27" ht="17.100000000000001" customHeight="1"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3:27" ht="17.100000000000001" customHeight="1"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3:27" ht="17.100000000000001" customHeight="1"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3:27" ht="17.100000000000001" customHeight="1"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3:27" ht="17.100000000000001" customHeight="1"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3:27" ht="17.100000000000001" customHeight="1"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3:27" ht="17.100000000000001" customHeight="1"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3:27" ht="17.100000000000001" customHeight="1"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3:27" ht="17.100000000000001" customHeight="1"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3:27" ht="17.100000000000001" customHeight="1"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3:27" ht="17.100000000000001" customHeight="1"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3:27" ht="17.100000000000001" customHeight="1"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3:27" ht="17.100000000000001" customHeight="1"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3:27" ht="17.100000000000001" customHeight="1"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3:27" ht="17.100000000000001" customHeight="1"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3:27" ht="17.100000000000001" customHeight="1"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3:27" ht="17.100000000000001" customHeight="1"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3:27" ht="17.100000000000001" customHeight="1"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3:27" ht="17.100000000000001" customHeight="1"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3:27" ht="17.100000000000001" customHeight="1"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3:27" ht="17.100000000000001" customHeight="1"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3:27" ht="17.100000000000001" customHeight="1"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3:27" ht="17.100000000000001" customHeight="1"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3:27" ht="17.100000000000001" customHeight="1"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3:27" ht="17.100000000000001" customHeight="1"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3:27" ht="17.100000000000001" customHeight="1"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3:27" ht="17.100000000000001" customHeight="1"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3:27" ht="17.100000000000001" customHeight="1"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3:27" ht="17.100000000000001" customHeight="1"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3:27" ht="17.100000000000001" customHeight="1"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3:27" ht="17.100000000000001" customHeight="1"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3:27" ht="17.100000000000001" customHeight="1"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3:27" ht="17.100000000000001" customHeight="1"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3:27" ht="17.100000000000001" customHeight="1"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3:27" ht="17.100000000000001" customHeight="1"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3:27" ht="17.100000000000001" customHeight="1"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3:27" ht="17.100000000000001" customHeight="1"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3:27" ht="17.100000000000001" customHeight="1"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3:27" ht="17.100000000000001" customHeight="1"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3:27" ht="17.100000000000001" customHeight="1"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3:27" ht="17.100000000000001" customHeight="1"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3:27" ht="17.100000000000001" customHeight="1"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3:27" ht="17.100000000000001" customHeight="1"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3:27" ht="17.100000000000001" customHeight="1"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3:27" ht="17.100000000000001" customHeight="1"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3:27" ht="17.100000000000001" customHeight="1"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3:27" ht="17.100000000000001" customHeight="1"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3:27" ht="17.100000000000001" customHeight="1"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3:27" ht="17.100000000000001" customHeight="1"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3:27" ht="17.100000000000001" customHeight="1"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3:27" ht="17.100000000000001" customHeight="1"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3:27" ht="17.100000000000001" customHeight="1"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3:27" ht="17.100000000000001" customHeight="1"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3:27" ht="17.100000000000001" customHeight="1"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3:27" ht="17.100000000000001" customHeight="1"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3:27" ht="17.100000000000001" customHeight="1"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3:27" ht="17.100000000000001" customHeight="1"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3:27" ht="17.100000000000001" customHeight="1"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3:27" ht="17.100000000000001" customHeight="1"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3:27" ht="17.100000000000001" customHeight="1"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3:27" ht="17.100000000000001" customHeight="1"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3:27" ht="17.100000000000001" customHeight="1"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3:27" ht="17.100000000000001" customHeight="1"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3:27" ht="17.100000000000001" customHeight="1"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3:27" ht="17.100000000000001" customHeight="1"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3:27" ht="17.100000000000001" customHeight="1"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3:27" ht="17.100000000000001" customHeight="1"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3:27" ht="17.100000000000001" customHeight="1"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3:27" ht="17.100000000000001" customHeight="1"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3:27" ht="17.100000000000001" customHeight="1"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3:27" ht="17.100000000000001" customHeight="1"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3:27" ht="17.100000000000001" customHeight="1"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3:27" ht="17.100000000000001" customHeight="1"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3:27" ht="17.100000000000001" customHeight="1"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3:27" ht="17.100000000000001" customHeight="1"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3:27" ht="17.100000000000001" customHeight="1"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3:27" ht="17.100000000000001" customHeight="1"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3:27" ht="17.100000000000001" customHeight="1"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3:27" ht="17.100000000000001" customHeight="1"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3:27" ht="17.100000000000001" customHeight="1"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3:27" ht="17.100000000000001" customHeight="1"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3:27" ht="17.100000000000001" customHeight="1"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3:27" ht="17.100000000000001" customHeight="1"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3:27" ht="17.100000000000001" customHeight="1"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3:27" ht="17.100000000000001" customHeight="1"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3:27" ht="17.100000000000001" customHeight="1"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3:27" ht="17.100000000000001" customHeight="1"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3:27" ht="17.100000000000001" customHeight="1"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3:27" ht="17.100000000000001" customHeight="1"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3:27" ht="17.100000000000001" customHeight="1"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3:27" ht="17.100000000000001" customHeight="1"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3:27" ht="17.100000000000001" customHeight="1"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3:27" ht="17.100000000000001" customHeight="1"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3:27" ht="17.100000000000001" customHeight="1"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3:27" ht="17.100000000000001" customHeight="1"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3:27" ht="17.100000000000001" customHeight="1"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3:27" ht="17.100000000000001" customHeight="1"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3:27" ht="17.100000000000001" customHeight="1"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3:27" ht="17.100000000000001" customHeight="1"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3:27" ht="17.100000000000001" customHeight="1"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3:27" ht="17.100000000000001" customHeight="1"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3:27" ht="17.100000000000001" customHeight="1"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3:27" ht="17.100000000000001" customHeight="1"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3:27" ht="17.100000000000001" customHeight="1"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3:27" ht="17.100000000000001" customHeight="1"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3:27" ht="17.100000000000001" customHeight="1"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3:27" ht="17.100000000000001" customHeight="1"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3:27" ht="17.100000000000001" customHeight="1"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3:27" ht="17.100000000000001" customHeight="1"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3:27" ht="17.100000000000001" customHeight="1"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3:27" ht="17.100000000000001" customHeight="1"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3:27" ht="17.100000000000001" customHeight="1"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3:27" ht="17.100000000000001" customHeight="1"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3:27" ht="17.100000000000001" customHeight="1"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3:27" ht="17.100000000000001" customHeight="1"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3:27" ht="17.100000000000001" customHeight="1"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3:27" ht="17.100000000000001" customHeight="1"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3:27" ht="17.100000000000001" customHeight="1"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3:27" ht="17.100000000000001" customHeight="1"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3:27" ht="17.100000000000001" customHeight="1"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3:27" ht="17.100000000000001" customHeight="1"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3:27" ht="17.100000000000001" customHeight="1"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3:27" ht="17.100000000000001" customHeight="1"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3:27" ht="17.100000000000001" customHeight="1"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3:27" ht="17.100000000000001" customHeight="1"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3:27" ht="17.100000000000001" customHeight="1"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3:27" ht="17.100000000000001" customHeight="1"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3:27" ht="17.100000000000001" customHeight="1"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3:27" ht="17.100000000000001" customHeight="1"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3:27" ht="17.100000000000001" customHeight="1"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3:27" ht="17.100000000000001" customHeight="1"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3:27" ht="17.100000000000001" customHeight="1"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3:27" ht="17.100000000000001" customHeight="1"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3:27" ht="17.100000000000001" customHeight="1"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3:27" ht="17.100000000000001" customHeight="1"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3:27" ht="17.100000000000001" customHeight="1"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3:27" ht="17.100000000000001" customHeight="1"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3:27" ht="17.100000000000001" customHeight="1"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3:27" ht="17.100000000000001" customHeight="1"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3:27" ht="17.100000000000001" customHeight="1"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3:27" ht="17.100000000000001" customHeight="1"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3:27" ht="17.100000000000001" customHeight="1"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3:27" ht="17.100000000000001" customHeight="1"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3:27" ht="17.100000000000001" customHeight="1"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3:27" ht="17.100000000000001" customHeight="1"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3:27" ht="17.100000000000001" customHeight="1"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3:27" ht="17.100000000000001" customHeight="1"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3:27" ht="17.100000000000001" customHeight="1"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3:27" ht="17.100000000000001" customHeight="1"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3:27" ht="17.100000000000001" customHeight="1"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3:27" ht="17.100000000000001" customHeight="1"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3:27" ht="17.100000000000001" customHeight="1"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3:27" ht="17.100000000000001" customHeight="1"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3:27" ht="17.100000000000001" customHeight="1"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3:27" ht="17.100000000000001" customHeight="1"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3:27" ht="17.100000000000001" customHeight="1"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3:27" ht="17.100000000000001" customHeight="1"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3:27" ht="17.100000000000001" customHeight="1"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3:27" ht="17.100000000000001" customHeight="1"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3:27" ht="17.100000000000001" customHeight="1"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 spans="3:27" ht="17.100000000000001" customHeight="1"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 spans="3:27" ht="17.100000000000001" customHeight="1"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 spans="3:27" ht="17.100000000000001" customHeight="1"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 spans="3:27" ht="17.100000000000001" customHeight="1"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 spans="3:27" ht="17.100000000000001" customHeight="1"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 spans="3:27" ht="17.100000000000001" customHeight="1"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 spans="3:27" ht="17.100000000000001" customHeight="1"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 spans="3:27" ht="17.100000000000001" customHeight="1"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 spans="3:27" ht="17.100000000000001" customHeight="1"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 spans="3:27" ht="17.100000000000001" customHeight="1"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3:27" ht="17.100000000000001" customHeight="1"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 spans="3:27" ht="17.100000000000001" customHeight="1"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 spans="3:27" ht="17.100000000000001" customHeight="1"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</sheetData>
  <phoneticPr fontId="5" type="noConversion"/>
  <dataValidations count="7">
    <dataValidation type="whole" allowBlank="1" showInputMessage="1" showErrorMessage="1" sqref="C4:XFD4 C7:XFD7" xr:uid="{CA2B55ED-83B9-40DC-8852-C0DF7DBCD4C6}">
      <formula1>0</formula1>
      <formula2>9999</formula2>
    </dataValidation>
    <dataValidation type="time" allowBlank="1" showInputMessage="1" showErrorMessage="1" sqref="C5:XFD6 C13:XFD14 C18:XFD19 C23:XFD24 C28:XFD29" xr:uid="{CCE4F893-5B7E-4281-8113-1A2219873419}">
      <formula1>0</formula1>
      <formula2>0.999988425925926</formula2>
    </dataValidation>
    <dataValidation type="whole" allowBlank="1" showInputMessage="1" showErrorMessage="1" sqref="C8:XFD8" xr:uid="{11A2E544-6B2B-4C94-A856-59FB9E055E31}">
      <formula1>0</formula1>
      <formula2>1439</formula2>
    </dataValidation>
    <dataValidation type="whole" allowBlank="1" showInputMessage="1" showErrorMessage="1" sqref="C9:XFD10 C25:XFD26 A20:XFD21 C15:XFD16 C30:XFD31" xr:uid="{79749248-AE5C-404B-89FE-CF9EACC460E9}">
      <formula1>1</formula1>
      <formula2>12</formula2>
    </dataValidation>
    <dataValidation type="decimal" allowBlank="1" showInputMessage="1" showErrorMessage="1" sqref="A22:XFD22 A17:XFD17 C27:XFD27 C32:XFD32" xr:uid="{4C1001E7-9CFD-4D87-BB10-8B16115B193E}">
      <formula1>10</formula1>
      <formula2>50</formula2>
    </dataValidation>
    <dataValidation type="custom" allowBlank="1" showInputMessage="1" showErrorMessage="1" promptTitle="재실 요일입력" prompt="월, 화, 수, 목, 금, 토, 일 중_x000a_재실하는 요일에 대하여,_x000a_쉼표(&quot;,&quot;)로 구분하여 정자로 입력할 것" sqref="C11:XFD12" xr:uid="{24A96523-AB7B-44B4-AB3C-E9DB0BDD628B}">
      <formula1>OR(C11="",LEN(SUBSTITUTE(SUBSTITUTE(SUBSTITUTE(SUBSTITUTE(SUBSTITUTE(SUBSTITUTE(SUBSTITUTE(SUBSTITUTE(C11,",",""),"월",""),"화",""),"수",""),"목",""),"금",""),"토",""),"일",""))=0)</formula1>
    </dataValidation>
    <dataValidation type="custom" allowBlank="1" showInputMessage="1" showErrorMessage="1" errorTitle="프로필 이름 중복" error="프로필 이름은 중복되지 않도록 입력하여야 합니다." sqref="C2:XFD2" xr:uid="{8D190B3B-E433-4502-9562-2ABCCB324064}">
      <formula1>OR(C2="",COUNTIF($C$2:$ZZ$2,C2)=1)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85DDE4-8124-4FF6-ABDD-975D3E8941A1}">
          <x14:formula1>
            <xm:f>참조!$D$2:$D$22</xm:f>
          </x14:formula1>
          <xm:sqref>C3:XFD3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outlinePr summaryBelow="0" summaryRight="0"/>
  </sheetPr>
  <dimension ref="B1:K200"/>
  <sheetViews>
    <sheetView zoomScaleNormal="100" workbookViewId="0">
      <selection activeCell="I3" sqref="I3"/>
    </sheetView>
  </sheetViews>
  <sheetFormatPr defaultColWidth="12.5703125" defaultRowHeight="18" customHeight="1"/>
  <cols>
    <col min="1" max="1" width="1.5703125" style="21" customWidth="1"/>
    <col min="2" max="2" width="22.140625" style="21" bestFit="1" customWidth="1"/>
    <col min="3" max="3" width="12.5703125" style="21" customWidth="1"/>
    <col min="4" max="4" width="21.85546875" style="21" customWidth="1"/>
    <col min="5" max="5" width="18" style="21" customWidth="1"/>
    <col min="6" max="6" width="18.28515625" style="21" customWidth="1"/>
    <col min="7" max="7" width="12.5703125" style="58" customWidth="1"/>
    <col min="8" max="8" width="17.140625" style="21" customWidth="1"/>
    <col min="9" max="9" width="23" style="59" customWidth="1"/>
    <col min="10" max="10" width="2.42578125" style="21" customWidth="1"/>
    <col min="11" max="11" width="17" style="21" customWidth="1"/>
    <col min="12" max="16384" width="12.5703125" style="21"/>
  </cols>
  <sheetData>
    <row r="1" spans="2:11" ht="7.5" customHeight="1">
      <c r="G1" s="21"/>
      <c r="I1" s="60"/>
    </row>
    <row r="2" spans="2:11" s="10" customFormat="1" ht="18" customHeight="1">
      <c r="B2" s="3" t="s">
        <v>8</v>
      </c>
      <c r="C2" s="3" t="s">
        <v>25</v>
      </c>
      <c r="D2" s="9" t="s">
        <v>135</v>
      </c>
      <c r="E2" s="8" t="s">
        <v>136</v>
      </c>
      <c r="F2" s="8" t="s">
        <v>137</v>
      </c>
      <c r="G2" s="3" t="s">
        <v>556</v>
      </c>
      <c r="H2" s="3" t="s">
        <v>138</v>
      </c>
      <c r="I2" s="3" t="s">
        <v>557</v>
      </c>
      <c r="K2" s="67" t="s">
        <v>588</v>
      </c>
    </row>
    <row r="3" spans="2:11" ht="18" customHeight="1">
      <c r="B3" s="6"/>
      <c r="C3" s="6"/>
      <c r="D3" s="31"/>
      <c r="E3" s="31"/>
      <c r="F3" s="31"/>
      <c r="G3" s="6"/>
      <c r="H3" s="35"/>
      <c r="K3" s="94"/>
    </row>
    <row r="4" spans="2:11" ht="18" customHeight="1">
      <c r="B4" s="6"/>
      <c r="C4" s="6"/>
      <c r="D4" s="31"/>
      <c r="E4" s="31"/>
      <c r="F4" s="31"/>
      <c r="G4" s="6"/>
      <c r="H4" s="35"/>
      <c r="K4" s="94"/>
    </row>
    <row r="5" spans="2:11" ht="18" customHeight="1">
      <c r="B5" s="6"/>
      <c r="C5" s="6"/>
      <c r="D5" s="31"/>
      <c r="E5" s="31"/>
      <c r="F5" s="31"/>
      <c r="G5" s="6"/>
      <c r="H5" s="35"/>
      <c r="K5" s="94"/>
    </row>
    <row r="6" spans="2:11" ht="18" customHeight="1">
      <c r="B6" s="6"/>
      <c r="C6" s="6"/>
      <c r="D6" s="31"/>
      <c r="E6" s="31"/>
      <c r="F6" s="31"/>
      <c r="G6" s="6"/>
      <c r="H6" s="35"/>
      <c r="K6" s="94"/>
    </row>
    <row r="7" spans="2:11" ht="18" customHeight="1">
      <c r="B7" s="6"/>
      <c r="C7" s="6"/>
      <c r="D7" s="31"/>
      <c r="E7" s="31"/>
      <c r="F7" s="31"/>
      <c r="G7" s="6"/>
      <c r="H7" s="35"/>
      <c r="K7" s="94"/>
    </row>
    <row r="8" spans="2:11" ht="18" customHeight="1">
      <c r="B8" s="6"/>
      <c r="C8" s="6"/>
      <c r="D8" s="31"/>
      <c r="E8" s="31"/>
      <c r="F8" s="31"/>
      <c r="G8" s="6"/>
      <c r="H8" s="35"/>
      <c r="K8" s="94"/>
    </row>
    <row r="9" spans="2:11" ht="18" customHeight="1">
      <c r="B9" s="6"/>
      <c r="C9" s="6"/>
      <c r="D9" s="31"/>
      <c r="E9" s="31"/>
      <c r="F9" s="31"/>
      <c r="G9" s="6"/>
      <c r="H9" s="35"/>
      <c r="K9" s="94"/>
    </row>
    <row r="10" spans="2:11" ht="18" customHeight="1">
      <c r="B10" s="6"/>
      <c r="C10" s="6"/>
      <c r="D10" s="31"/>
      <c r="E10" s="31"/>
      <c r="F10" s="31"/>
      <c r="G10" s="6"/>
      <c r="H10" s="35"/>
      <c r="K10" s="94"/>
    </row>
    <row r="11" spans="2:11" ht="18" customHeight="1">
      <c r="B11" s="6"/>
      <c r="C11" s="6"/>
      <c r="D11" s="31"/>
      <c r="E11" s="31"/>
      <c r="F11" s="31"/>
      <c r="G11" s="6"/>
      <c r="H11" s="35"/>
      <c r="K11" s="94"/>
    </row>
    <row r="12" spans="2:11" ht="18" customHeight="1">
      <c r="B12" s="6"/>
      <c r="C12" s="6"/>
      <c r="D12" s="31"/>
      <c r="E12" s="31"/>
      <c r="F12" s="31"/>
      <c r="G12" s="6"/>
      <c r="H12" s="35"/>
      <c r="K12" s="94"/>
    </row>
    <row r="13" spans="2:11" ht="18" customHeight="1">
      <c r="B13" s="6"/>
      <c r="C13" s="6"/>
      <c r="D13" s="31"/>
      <c r="E13" s="31"/>
      <c r="F13" s="31"/>
      <c r="G13" s="6"/>
      <c r="H13" s="35"/>
      <c r="K13" s="94"/>
    </row>
    <row r="14" spans="2:11" ht="18" customHeight="1">
      <c r="B14" s="6"/>
      <c r="C14" s="6"/>
      <c r="D14" s="31"/>
      <c r="E14" s="31"/>
      <c r="F14" s="31"/>
      <c r="G14" s="6"/>
      <c r="H14" s="35"/>
      <c r="K14" s="94"/>
    </row>
    <row r="15" spans="2:11" ht="18" customHeight="1">
      <c r="B15" s="6"/>
      <c r="C15" s="6"/>
      <c r="D15" s="31"/>
      <c r="E15" s="31"/>
      <c r="F15" s="31"/>
      <c r="G15" s="6"/>
      <c r="H15" s="35"/>
      <c r="K15" s="94"/>
    </row>
    <row r="16" spans="2:11" ht="18" customHeight="1">
      <c r="B16" s="6"/>
      <c r="C16" s="6"/>
      <c r="D16" s="31"/>
      <c r="E16" s="31"/>
      <c r="F16" s="31"/>
      <c r="G16" s="6"/>
      <c r="H16" s="35"/>
      <c r="K16" s="94"/>
    </row>
    <row r="17" spans="2:11" ht="18" customHeight="1">
      <c r="B17" s="6"/>
      <c r="C17" s="6"/>
      <c r="D17" s="31"/>
      <c r="E17" s="31"/>
      <c r="F17" s="31"/>
      <c r="G17" s="6"/>
      <c r="H17" s="35"/>
      <c r="K17" s="94"/>
    </row>
    <row r="18" spans="2:11" ht="18" customHeight="1">
      <c r="B18" s="6"/>
      <c r="C18" s="6"/>
      <c r="D18" s="31"/>
      <c r="E18" s="31"/>
      <c r="F18" s="31"/>
      <c r="G18" s="6"/>
      <c r="H18" s="35"/>
      <c r="K18" s="94"/>
    </row>
    <row r="19" spans="2:11" ht="18" customHeight="1">
      <c r="B19" s="6"/>
      <c r="C19" s="6"/>
      <c r="D19" s="31"/>
      <c r="E19" s="31"/>
      <c r="F19" s="31"/>
      <c r="G19" s="6"/>
      <c r="H19" s="35"/>
      <c r="K19" s="94"/>
    </row>
    <row r="20" spans="2:11" ht="18" customHeight="1">
      <c r="B20" s="6"/>
      <c r="C20" s="6"/>
      <c r="D20" s="31"/>
      <c r="E20" s="31"/>
      <c r="F20" s="31"/>
      <c r="G20" s="6"/>
      <c r="H20" s="35"/>
      <c r="K20" s="94"/>
    </row>
    <row r="21" spans="2:11" ht="18" customHeight="1">
      <c r="B21" s="6"/>
      <c r="C21" s="6"/>
      <c r="D21" s="31"/>
      <c r="E21" s="31"/>
      <c r="F21" s="31"/>
      <c r="G21" s="6"/>
      <c r="H21" s="35"/>
      <c r="K21" s="94"/>
    </row>
    <row r="22" spans="2:11" ht="18" customHeight="1">
      <c r="B22" s="6"/>
      <c r="C22" s="6"/>
      <c r="D22" s="31"/>
      <c r="E22" s="31"/>
      <c r="F22" s="31"/>
      <c r="G22" s="6"/>
      <c r="H22" s="35"/>
      <c r="K22" s="94"/>
    </row>
    <row r="23" spans="2:11" ht="18" customHeight="1">
      <c r="B23" s="6"/>
      <c r="C23" s="6"/>
      <c r="D23" s="31"/>
      <c r="E23" s="31"/>
      <c r="F23" s="31"/>
      <c r="G23" s="6"/>
      <c r="H23" s="35"/>
      <c r="K23" s="94"/>
    </row>
    <row r="24" spans="2:11" ht="18" customHeight="1">
      <c r="B24" s="6"/>
      <c r="C24" s="6"/>
      <c r="D24" s="31"/>
      <c r="E24" s="31"/>
      <c r="F24" s="31"/>
      <c r="G24" s="6"/>
      <c r="H24" s="35"/>
      <c r="K24" s="94"/>
    </row>
    <row r="25" spans="2:11" ht="18" customHeight="1">
      <c r="B25" s="6"/>
      <c r="C25" s="6"/>
      <c r="D25" s="31"/>
      <c r="E25" s="31"/>
      <c r="F25" s="31"/>
      <c r="G25" s="6"/>
      <c r="H25" s="35"/>
      <c r="K25" s="94"/>
    </row>
    <row r="26" spans="2:11" ht="18" customHeight="1">
      <c r="B26" s="6"/>
      <c r="C26" s="6"/>
      <c r="D26" s="31"/>
      <c r="E26" s="31"/>
      <c r="F26" s="31"/>
      <c r="G26" s="6"/>
      <c r="H26" s="35"/>
      <c r="K26" s="94"/>
    </row>
    <row r="27" spans="2:11" ht="18" customHeight="1">
      <c r="B27" s="6"/>
      <c r="C27" s="6"/>
      <c r="D27" s="31"/>
      <c r="E27" s="31"/>
      <c r="F27" s="31"/>
      <c r="G27" s="6"/>
      <c r="H27" s="35"/>
      <c r="K27" s="94"/>
    </row>
    <row r="28" spans="2:11" ht="18" customHeight="1">
      <c r="B28" s="6"/>
      <c r="C28" s="6"/>
      <c r="D28" s="31"/>
      <c r="E28" s="31"/>
      <c r="F28" s="31"/>
      <c r="G28" s="6"/>
      <c r="H28" s="35"/>
      <c r="K28" s="94"/>
    </row>
    <row r="29" spans="2:11" ht="18" customHeight="1">
      <c r="B29" s="6"/>
      <c r="C29" s="6"/>
      <c r="D29" s="31"/>
      <c r="E29" s="31"/>
      <c r="F29" s="31"/>
      <c r="G29" s="6"/>
      <c r="H29" s="35"/>
      <c r="K29" s="94"/>
    </row>
    <row r="30" spans="2:11" ht="18" customHeight="1">
      <c r="B30" s="6"/>
      <c r="C30" s="6"/>
      <c r="D30" s="31"/>
      <c r="E30" s="31"/>
      <c r="F30" s="31"/>
      <c r="G30" s="6"/>
      <c r="H30" s="35"/>
      <c r="K30" s="94"/>
    </row>
    <row r="31" spans="2:11" ht="18" customHeight="1">
      <c r="B31" s="6"/>
      <c r="C31" s="6"/>
      <c r="D31" s="31"/>
      <c r="E31" s="31"/>
      <c r="F31" s="31"/>
      <c r="G31" s="6"/>
      <c r="H31" s="35"/>
      <c r="K31" s="94"/>
    </row>
    <row r="32" spans="2:11" ht="18" customHeight="1">
      <c r="B32" s="6"/>
      <c r="C32" s="6"/>
      <c r="D32" s="31"/>
      <c r="E32" s="31"/>
      <c r="F32" s="31"/>
      <c r="G32" s="6"/>
      <c r="H32" s="35"/>
      <c r="K32" s="94"/>
    </row>
    <row r="33" spans="2:11" ht="18" customHeight="1">
      <c r="B33" s="6"/>
      <c r="C33" s="6"/>
      <c r="D33" s="31"/>
      <c r="E33" s="31"/>
      <c r="F33" s="31"/>
      <c r="G33" s="6"/>
      <c r="H33" s="35"/>
      <c r="K33" s="94"/>
    </row>
    <row r="34" spans="2:11" ht="18" customHeight="1">
      <c r="B34" s="6"/>
      <c r="C34" s="6"/>
      <c r="D34" s="31"/>
      <c r="E34" s="31"/>
      <c r="F34" s="31"/>
      <c r="G34" s="6"/>
      <c r="H34" s="35"/>
      <c r="K34" s="94"/>
    </row>
    <row r="35" spans="2:11" ht="18" customHeight="1">
      <c r="B35" s="6"/>
      <c r="C35" s="6"/>
      <c r="D35" s="31"/>
      <c r="E35" s="31"/>
      <c r="F35" s="31"/>
      <c r="G35" s="6"/>
      <c r="H35" s="35"/>
      <c r="K35" s="94"/>
    </row>
    <row r="36" spans="2:11" ht="18" customHeight="1">
      <c r="B36" s="6"/>
      <c r="C36" s="6"/>
      <c r="D36" s="31"/>
      <c r="E36" s="31"/>
      <c r="F36" s="31"/>
      <c r="G36" s="6"/>
      <c r="H36" s="35"/>
      <c r="K36" s="94"/>
    </row>
    <row r="37" spans="2:11" ht="18" customHeight="1">
      <c r="B37" s="6"/>
      <c r="C37" s="6"/>
      <c r="D37" s="31"/>
      <c r="E37" s="31"/>
      <c r="F37" s="31"/>
      <c r="G37" s="6"/>
      <c r="H37" s="35"/>
      <c r="K37" s="94"/>
    </row>
    <row r="38" spans="2:11" ht="18" customHeight="1">
      <c r="B38" s="6"/>
      <c r="C38" s="6"/>
      <c r="D38" s="31"/>
      <c r="E38" s="31"/>
      <c r="F38" s="31"/>
      <c r="G38" s="6"/>
      <c r="H38" s="35"/>
      <c r="K38" s="94"/>
    </row>
    <row r="39" spans="2:11" ht="18" customHeight="1">
      <c r="B39" s="6"/>
      <c r="C39" s="6"/>
      <c r="D39" s="31"/>
      <c r="E39" s="31"/>
      <c r="F39" s="31"/>
      <c r="G39" s="6"/>
      <c r="H39" s="35"/>
      <c r="K39" s="94"/>
    </row>
    <row r="40" spans="2:11" ht="18" customHeight="1">
      <c r="B40" s="6"/>
      <c r="C40" s="6"/>
      <c r="D40" s="31"/>
      <c r="E40" s="31"/>
      <c r="F40" s="31"/>
      <c r="G40" s="6"/>
      <c r="H40" s="35"/>
      <c r="K40" s="94"/>
    </row>
    <row r="41" spans="2:11" ht="18" customHeight="1">
      <c r="B41" s="6"/>
      <c r="C41" s="6"/>
      <c r="D41" s="31"/>
      <c r="E41" s="31"/>
      <c r="F41" s="31"/>
      <c r="G41" s="6"/>
      <c r="H41" s="35"/>
      <c r="K41" s="94"/>
    </row>
    <row r="42" spans="2:11" ht="18" customHeight="1">
      <c r="B42" s="6"/>
      <c r="C42" s="6"/>
      <c r="D42" s="31"/>
      <c r="E42" s="31"/>
      <c r="F42" s="31"/>
      <c r="G42" s="6"/>
      <c r="H42" s="35"/>
      <c r="K42" s="94"/>
    </row>
    <row r="43" spans="2:11" ht="18" customHeight="1">
      <c r="B43" s="6"/>
      <c r="C43" s="6"/>
      <c r="D43" s="31"/>
      <c r="E43" s="31"/>
      <c r="F43" s="31"/>
      <c r="G43" s="6"/>
      <c r="H43" s="35"/>
      <c r="K43" s="94"/>
    </row>
    <row r="44" spans="2:11" ht="18" customHeight="1">
      <c r="B44" s="6"/>
      <c r="C44" s="6"/>
      <c r="D44" s="31"/>
      <c r="E44" s="31"/>
      <c r="F44" s="31"/>
      <c r="G44" s="6"/>
      <c r="H44" s="35"/>
      <c r="K44" s="94"/>
    </row>
    <row r="45" spans="2:11" ht="18" customHeight="1">
      <c r="B45" s="6"/>
      <c r="C45" s="6"/>
      <c r="D45" s="31"/>
      <c r="E45" s="31"/>
      <c r="F45" s="31"/>
      <c r="G45" s="6"/>
      <c r="H45" s="35"/>
      <c r="K45" s="94"/>
    </row>
    <row r="46" spans="2:11" ht="18" customHeight="1">
      <c r="B46" s="6"/>
      <c r="C46" s="6"/>
      <c r="D46" s="31"/>
      <c r="E46" s="31"/>
      <c r="F46" s="31"/>
      <c r="G46" s="6"/>
      <c r="H46" s="35"/>
      <c r="K46" s="94"/>
    </row>
    <row r="47" spans="2:11" ht="18" customHeight="1">
      <c r="B47" s="6"/>
      <c r="C47" s="6"/>
      <c r="D47" s="31"/>
      <c r="E47" s="31"/>
      <c r="F47" s="31"/>
      <c r="G47" s="6"/>
      <c r="H47" s="35"/>
      <c r="K47" s="94"/>
    </row>
    <row r="48" spans="2:11" ht="18" customHeight="1">
      <c r="B48" s="6"/>
      <c r="C48" s="6"/>
      <c r="D48" s="31"/>
      <c r="E48" s="31"/>
      <c r="F48" s="31"/>
      <c r="G48" s="6"/>
      <c r="H48" s="35"/>
      <c r="K48" s="94"/>
    </row>
    <row r="49" spans="2:11" ht="18" customHeight="1">
      <c r="B49" s="6"/>
      <c r="C49" s="6"/>
      <c r="D49" s="31"/>
      <c r="E49" s="31"/>
      <c r="F49" s="31"/>
      <c r="G49" s="6"/>
      <c r="H49" s="35"/>
      <c r="K49" s="94"/>
    </row>
    <row r="50" spans="2:11" ht="18" customHeight="1">
      <c r="B50" s="6"/>
      <c r="C50" s="6"/>
      <c r="D50" s="31"/>
      <c r="E50" s="31"/>
      <c r="F50" s="31"/>
      <c r="G50" s="6"/>
      <c r="H50" s="35"/>
      <c r="K50" s="94"/>
    </row>
    <row r="51" spans="2:11" ht="18" customHeight="1">
      <c r="B51" s="6"/>
      <c r="C51" s="6"/>
      <c r="D51" s="31"/>
      <c r="E51" s="31"/>
      <c r="F51" s="31"/>
      <c r="G51" s="6"/>
      <c r="H51" s="35"/>
      <c r="K51" s="94"/>
    </row>
    <row r="52" spans="2:11" ht="18" customHeight="1">
      <c r="B52" s="6"/>
      <c r="C52" s="6"/>
      <c r="D52" s="31"/>
      <c r="E52" s="31"/>
      <c r="F52" s="31"/>
      <c r="G52" s="6"/>
      <c r="H52" s="35"/>
      <c r="K52" s="94"/>
    </row>
    <row r="53" spans="2:11" ht="18" customHeight="1">
      <c r="B53" s="6"/>
      <c r="C53" s="6"/>
      <c r="D53" s="31"/>
      <c r="E53" s="31"/>
      <c r="F53" s="31"/>
      <c r="G53" s="6"/>
      <c r="H53" s="35"/>
      <c r="K53" s="94"/>
    </row>
    <row r="54" spans="2:11" ht="18" customHeight="1">
      <c r="B54" s="6"/>
      <c r="C54" s="6"/>
      <c r="D54" s="31"/>
      <c r="E54" s="31"/>
      <c r="F54" s="31"/>
      <c r="G54" s="6"/>
      <c r="H54" s="35"/>
      <c r="K54" s="94"/>
    </row>
    <row r="55" spans="2:11" ht="18" customHeight="1">
      <c r="B55" s="6"/>
      <c r="C55" s="6"/>
      <c r="D55" s="31"/>
      <c r="E55" s="31"/>
      <c r="F55" s="31"/>
      <c r="G55" s="6"/>
      <c r="H55" s="35"/>
      <c r="K55" s="94"/>
    </row>
    <row r="56" spans="2:11" ht="18" customHeight="1">
      <c r="B56" s="6"/>
      <c r="C56" s="6"/>
      <c r="D56" s="31"/>
      <c r="E56" s="31"/>
      <c r="F56" s="31"/>
      <c r="G56" s="6"/>
      <c r="H56" s="35"/>
      <c r="K56" s="94"/>
    </row>
    <row r="57" spans="2:11" ht="18" customHeight="1">
      <c r="B57" s="6"/>
      <c r="C57" s="6"/>
      <c r="D57" s="31"/>
      <c r="E57" s="31"/>
      <c r="F57" s="31"/>
      <c r="G57" s="6"/>
      <c r="H57" s="35"/>
      <c r="K57" s="94"/>
    </row>
    <row r="58" spans="2:11" ht="18" customHeight="1">
      <c r="B58" s="6"/>
      <c r="C58" s="6"/>
      <c r="D58" s="31"/>
      <c r="E58" s="31"/>
      <c r="F58" s="31"/>
      <c r="G58" s="6"/>
      <c r="H58" s="35"/>
      <c r="K58" s="94"/>
    </row>
    <row r="59" spans="2:11" ht="18" customHeight="1">
      <c r="B59" s="6"/>
      <c r="C59" s="6"/>
      <c r="D59" s="31"/>
      <c r="E59" s="31"/>
      <c r="F59" s="31"/>
      <c r="G59" s="6"/>
      <c r="H59" s="35"/>
      <c r="K59" s="94"/>
    </row>
    <row r="60" spans="2:11" ht="18" customHeight="1">
      <c r="B60" s="6"/>
      <c r="C60" s="6"/>
      <c r="D60" s="31"/>
      <c r="E60" s="31"/>
      <c r="F60" s="31"/>
      <c r="G60" s="6"/>
      <c r="H60" s="35"/>
      <c r="K60" s="94"/>
    </row>
    <row r="61" spans="2:11" ht="18" customHeight="1">
      <c r="B61" s="6"/>
      <c r="C61" s="6"/>
      <c r="D61" s="31"/>
      <c r="E61" s="31"/>
      <c r="F61" s="31"/>
      <c r="G61" s="6"/>
      <c r="H61" s="35"/>
      <c r="K61" s="94"/>
    </row>
    <row r="62" spans="2:11" ht="18" customHeight="1">
      <c r="B62" s="6"/>
      <c r="C62" s="6"/>
      <c r="D62" s="31"/>
      <c r="E62" s="31"/>
      <c r="F62" s="31"/>
      <c r="G62" s="6"/>
      <c r="H62" s="35"/>
      <c r="K62" s="94"/>
    </row>
    <row r="63" spans="2:11" ht="18" customHeight="1">
      <c r="B63" s="6"/>
      <c r="C63" s="6"/>
      <c r="D63" s="31"/>
      <c r="E63" s="31"/>
      <c r="F63" s="31"/>
      <c r="G63" s="6"/>
      <c r="H63" s="35"/>
      <c r="K63" s="94"/>
    </row>
    <row r="64" spans="2:11" ht="18" customHeight="1">
      <c r="B64" s="6"/>
      <c r="C64" s="6"/>
      <c r="D64" s="31"/>
      <c r="E64" s="31"/>
      <c r="F64" s="31"/>
      <c r="G64" s="6"/>
      <c r="H64" s="35"/>
      <c r="K64" s="94"/>
    </row>
    <row r="65" spans="2:11" ht="18" customHeight="1">
      <c r="B65" s="6"/>
      <c r="C65" s="6"/>
      <c r="D65" s="31"/>
      <c r="E65" s="31"/>
      <c r="F65" s="31"/>
      <c r="G65" s="6"/>
      <c r="H65" s="35"/>
      <c r="K65" s="94"/>
    </row>
    <row r="66" spans="2:11" ht="18" customHeight="1">
      <c r="B66" s="6"/>
      <c r="C66" s="6"/>
      <c r="D66" s="31"/>
      <c r="E66" s="31"/>
      <c r="F66" s="31"/>
      <c r="G66" s="6"/>
      <c r="H66" s="35"/>
      <c r="K66" s="94"/>
    </row>
    <row r="67" spans="2:11" ht="18" customHeight="1">
      <c r="B67" s="6"/>
      <c r="C67" s="6"/>
      <c r="D67" s="31"/>
      <c r="E67" s="31"/>
      <c r="F67" s="31"/>
      <c r="G67" s="6"/>
      <c r="H67" s="35"/>
      <c r="K67" s="94"/>
    </row>
    <row r="68" spans="2:11" ht="18" customHeight="1">
      <c r="B68" s="6"/>
      <c r="C68" s="6"/>
      <c r="D68" s="31"/>
      <c r="E68" s="31"/>
      <c r="F68" s="31"/>
      <c r="G68" s="6"/>
      <c r="H68" s="35"/>
      <c r="K68" s="94"/>
    </row>
    <row r="69" spans="2:11" ht="18" customHeight="1">
      <c r="B69" s="6"/>
      <c r="C69" s="6"/>
      <c r="D69" s="31"/>
      <c r="E69" s="31"/>
      <c r="F69" s="31"/>
      <c r="G69" s="6"/>
      <c r="H69" s="35"/>
      <c r="K69" s="94"/>
    </row>
    <row r="70" spans="2:11" ht="18" customHeight="1">
      <c r="B70" s="6"/>
      <c r="C70" s="6"/>
      <c r="D70" s="31"/>
      <c r="E70" s="31"/>
      <c r="F70" s="31"/>
      <c r="G70" s="6"/>
      <c r="H70" s="35"/>
      <c r="K70" s="94"/>
    </row>
    <row r="71" spans="2:11" ht="18" customHeight="1">
      <c r="B71" s="6"/>
      <c r="C71" s="6"/>
      <c r="D71" s="31"/>
      <c r="E71" s="31"/>
      <c r="F71" s="31"/>
      <c r="G71" s="6"/>
      <c r="H71" s="35"/>
      <c r="K71" s="94"/>
    </row>
    <row r="72" spans="2:11" ht="18" customHeight="1">
      <c r="B72" s="6"/>
      <c r="C72" s="6"/>
      <c r="D72" s="31"/>
      <c r="E72" s="31"/>
      <c r="F72" s="31"/>
      <c r="G72" s="6"/>
      <c r="H72" s="35"/>
      <c r="K72" s="94"/>
    </row>
    <row r="73" spans="2:11" ht="18" customHeight="1">
      <c r="B73" s="6"/>
      <c r="C73" s="6"/>
      <c r="D73" s="31"/>
      <c r="E73" s="31"/>
      <c r="F73" s="31"/>
      <c r="G73" s="6"/>
      <c r="H73" s="35"/>
      <c r="K73" s="94"/>
    </row>
    <row r="74" spans="2:11" ht="18" customHeight="1">
      <c r="B74" s="6"/>
      <c r="C74" s="6"/>
      <c r="D74" s="31"/>
      <c r="E74" s="31"/>
      <c r="F74" s="31"/>
      <c r="G74" s="6"/>
      <c r="H74" s="35"/>
      <c r="K74" s="94"/>
    </row>
    <row r="75" spans="2:11" ht="18" customHeight="1">
      <c r="B75" s="6"/>
      <c r="C75" s="6"/>
      <c r="D75" s="31"/>
      <c r="E75" s="31"/>
      <c r="F75" s="31"/>
      <c r="G75" s="6"/>
      <c r="H75" s="35"/>
      <c r="K75" s="94"/>
    </row>
    <row r="76" spans="2:11" ht="18" customHeight="1">
      <c r="B76" s="6"/>
      <c r="C76" s="6"/>
      <c r="D76" s="31"/>
      <c r="E76" s="31"/>
      <c r="F76" s="31"/>
      <c r="G76" s="6"/>
      <c r="H76" s="35"/>
      <c r="K76" s="94"/>
    </row>
    <row r="77" spans="2:11" ht="18" customHeight="1">
      <c r="B77" s="6"/>
      <c r="C77" s="6"/>
      <c r="D77" s="31"/>
      <c r="E77" s="31"/>
      <c r="F77" s="31"/>
      <c r="G77" s="6"/>
      <c r="H77" s="35"/>
      <c r="K77" s="94"/>
    </row>
    <row r="78" spans="2:11" ht="18" customHeight="1">
      <c r="B78" s="6"/>
      <c r="C78" s="6"/>
      <c r="D78" s="31"/>
      <c r="E78" s="31"/>
      <c r="F78" s="31"/>
      <c r="G78" s="6"/>
      <c r="H78" s="35"/>
      <c r="K78" s="94"/>
    </row>
    <row r="79" spans="2:11" ht="18" customHeight="1">
      <c r="B79" s="6"/>
      <c r="C79" s="6"/>
      <c r="D79" s="31"/>
      <c r="E79" s="31"/>
      <c r="F79" s="31"/>
      <c r="G79" s="6"/>
      <c r="H79" s="35"/>
      <c r="K79" s="94"/>
    </row>
    <row r="80" spans="2:11" ht="18" customHeight="1">
      <c r="B80" s="6"/>
      <c r="C80" s="6"/>
      <c r="D80" s="31"/>
      <c r="E80" s="31"/>
      <c r="F80" s="31"/>
      <c r="G80" s="6"/>
      <c r="H80" s="35"/>
      <c r="K80" s="94"/>
    </row>
    <row r="81" spans="2:11" ht="18" customHeight="1">
      <c r="B81" s="6"/>
      <c r="C81" s="6"/>
      <c r="D81" s="31"/>
      <c r="E81" s="31"/>
      <c r="F81" s="31"/>
      <c r="G81" s="6"/>
      <c r="H81" s="35"/>
      <c r="K81" s="94"/>
    </row>
    <row r="82" spans="2:11" ht="18" customHeight="1">
      <c r="B82" s="6"/>
      <c r="C82" s="6"/>
      <c r="D82" s="31"/>
      <c r="E82" s="31"/>
      <c r="F82" s="31"/>
      <c r="G82" s="6"/>
      <c r="H82" s="35"/>
      <c r="K82" s="94"/>
    </row>
    <row r="83" spans="2:11" ht="18" customHeight="1">
      <c r="B83" s="6"/>
      <c r="C83" s="6"/>
      <c r="D83" s="31"/>
      <c r="E83" s="31"/>
      <c r="F83" s="31"/>
      <c r="G83" s="6"/>
      <c r="H83" s="35"/>
      <c r="K83" s="94"/>
    </row>
    <row r="84" spans="2:11" ht="18" customHeight="1">
      <c r="B84" s="6"/>
      <c r="C84" s="6"/>
      <c r="D84" s="31"/>
      <c r="E84" s="31"/>
      <c r="F84" s="31"/>
      <c r="G84" s="6"/>
      <c r="H84" s="35"/>
      <c r="K84" s="94"/>
    </row>
    <row r="85" spans="2:11" ht="18" customHeight="1">
      <c r="B85" s="6"/>
      <c r="C85" s="6"/>
      <c r="D85" s="31"/>
      <c r="E85" s="31"/>
      <c r="F85" s="31"/>
      <c r="G85" s="6"/>
      <c r="H85" s="35"/>
      <c r="K85" s="94"/>
    </row>
    <row r="86" spans="2:11" ht="18" customHeight="1">
      <c r="B86" s="6"/>
      <c r="C86" s="6"/>
      <c r="D86" s="31"/>
      <c r="E86" s="31"/>
      <c r="F86" s="31"/>
      <c r="G86" s="6"/>
      <c r="H86" s="35"/>
      <c r="K86" s="94"/>
    </row>
    <row r="87" spans="2:11" ht="18" customHeight="1">
      <c r="B87" s="6"/>
      <c r="C87" s="6"/>
      <c r="D87" s="31"/>
      <c r="E87" s="31"/>
      <c r="F87" s="31"/>
      <c r="G87" s="6"/>
      <c r="H87" s="35"/>
      <c r="K87" s="94"/>
    </row>
    <row r="88" spans="2:11" ht="18" customHeight="1">
      <c r="B88" s="6"/>
      <c r="C88" s="6"/>
      <c r="D88" s="31"/>
      <c r="E88" s="31"/>
      <c r="F88" s="31"/>
      <c r="G88" s="6"/>
      <c r="H88" s="35"/>
      <c r="K88" s="94"/>
    </row>
    <row r="89" spans="2:11" ht="18" customHeight="1">
      <c r="B89" s="6"/>
      <c r="C89" s="6"/>
      <c r="D89" s="31"/>
      <c r="E89" s="31"/>
      <c r="F89" s="31"/>
      <c r="G89" s="6"/>
      <c r="H89" s="35"/>
      <c r="K89" s="94"/>
    </row>
    <row r="90" spans="2:11" ht="18" customHeight="1">
      <c r="B90" s="6"/>
      <c r="C90" s="6"/>
      <c r="D90" s="31"/>
      <c r="E90" s="31"/>
      <c r="F90" s="31"/>
      <c r="G90" s="6"/>
      <c r="H90" s="35"/>
      <c r="K90" s="94"/>
    </row>
    <row r="91" spans="2:11" ht="18" customHeight="1">
      <c r="B91" s="6"/>
      <c r="C91" s="6"/>
      <c r="D91" s="31"/>
      <c r="E91" s="31"/>
      <c r="F91" s="31"/>
      <c r="G91" s="6"/>
      <c r="H91" s="35"/>
      <c r="K91" s="94"/>
    </row>
    <row r="92" spans="2:11" ht="18" customHeight="1">
      <c r="B92" s="6"/>
      <c r="C92" s="6"/>
      <c r="D92" s="31"/>
      <c r="E92" s="31"/>
      <c r="F92" s="31"/>
      <c r="G92" s="6"/>
      <c r="H92" s="35"/>
      <c r="K92" s="94"/>
    </row>
    <row r="93" spans="2:11" ht="18" customHeight="1">
      <c r="B93" s="6"/>
      <c r="C93" s="6"/>
      <c r="D93" s="31"/>
      <c r="E93" s="31"/>
      <c r="F93" s="31"/>
      <c r="G93" s="6"/>
      <c r="H93" s="35"/>
      <c r="K93" s="94"/>
    </row>
    <row r="94" spans="2:11" ht="18" customHeight="1">
      <c r="B94" s="6"/>
      <c r="C94" s="6"/>
      <c r="D94" s="31"/>
      <c r="E94" s="31"/>
      <c r="F94" s="31"/>
      <c r="G94" s="6"/>
      <c r="H94" s="35"/>
      <c r="K94" s="94"/>
    </row>
    <row r="95" spans="2:11" ht="18" customHeight="1">
      <c r="B95" s="6"/>
      <c r="C95" s="6"/>
      <c r="D95" s="31"/>
      <c r="E95" s="31"/>
      <c r="F95" s="31"/>
      <c r="G95" s="6"/>
      <c r="H95" s="35"/>
      <c r="K95" s="94"/>
    </row>
    <row r="96" spans="2:11" ht="18" customHeight="1">
      <c r="B96" s="6"/>
      <c r="C96" s="6"/>
      <c r="D96" s="31"/>
      <c r="E96" s="31"/>
      <c r="F96" s="31"/>
      <c r="G96" s="6"/>
      <c r="H96" s="35"/>
      <c r="K96" s="94"/>
    </row>
    <row r="97" spans="2:11" ht="18" customHeight="1">
      <c r="B97" s="6"/>
      <c r="C97" s="6"/>
      <c r="D97" s="31"/>
      <c r="E97" s="31"/>
      <c r="F97" s="31"/>
      <c r="G97" s="6"/>
      <c r="H97" s="35"/>
      <c r="K97" s="94"/>
    </row>
    <row r="98" spans="2:11" ht="18" customHeight="1">
      <c r="B98" s="6"/>
      <c r="C98" s="6"/>
      <c r="D98" s="31"/>
      <c r="E98" s="31"/>
      <c r="F98" s="31"/>
      <c r="G98" s="6"/>
      <c r="H98" s="35"/>
      <c r="K98" s="94"/>
    </row>
    <row r="99" spans="2:11" ht="18" customHeight="1">
      <c r="B99" s="6"/>
      <c r="C99" s="6"/>
      <c r="D99" s="31"/>
      <c r="E99" s="31"/>
      <c r="F99" s="31"/>
      <c r="G99" s="6"/>
      <c r="H99" s="35"/>
      <c r="K99" s="94"/>
    </row>
    <row r="100" spans="2:11" ht="18" customHeight="1">
      <c r="B100" s="6"/>
      <c r="C100" s="6"/>
      <c r="D100" s="31"/>
      <c r="E100" s="31"/>
      <c r="F100" s="31"/>
      <c r="G100" s="6"/>
      <c r="H100" s="35"/>
      <c r="K100" s="94"/>
    </row>
    <row r="101" spans="2:11" ht="18" customHeight="1">
      <c r="B101" s="6"/>
      <c r="C101" s="6"/>
      <c r="D101" s="31"/>
      <c r="E101" s="31"/>
      <c r="F101" s="31"/>
      <c r="G101" s="6"/>
      <c r="H101" s="35"/>
      <c r="K101" s="94"/>
    </row>
    <row r="102" spans="2:11" ht="18" customHeight="1">
      <c r="B102" s="6"/>
      <c r="C102" s="6"/>
      <c r="D102" s="31"/>
      <c r="E102" s="31"/>
      <c r="F102" s="31"/>
      <c r="G102" s="6"/>
      <c r="H102" s="35"/>
      <c r="K102" s="94"/>
    </row>
    <row r="103" spans="2:11" ht="18" customHeight="1">
      <c r="B103" s="6"/>
      <c r="C103" s="6"/>
      <c r="D103" s="31"/>
      <c r="E103" s="31"/>
      <c r="F103" s="31"/>
      <c r="G103" s="6"/>
      <c r="H103" s="35"/>
      <c r="K103" s="94"/>
    </row>
    <row r="104" spans="2:11" ht="18" customHeight="1">
      <c r="B104" s="6"/>
      <c r="C104" s="6"/>
      <c r="D104" s="31"/>
      <c r="E104" s="31"/>
      <c r="F104" s="31"/>
      <c r="G104" s="6"/>
      <c r="H104" s="35"/>
      <c r="K104" s="94"/>
    </row>
    <row r="105" spans="2:11" ht="18" customHeight="1">
      <c r="B105" s="6"/>
      <c r="C105" s="6"/>
      <c r="D105" s="31"/>
      <c r="E105" s="31"/>
      <c r="F105" s="31"/>
      <c r="G105" s="6"/>
      <c r="H105" s="35"/>
      <c r="K105" s="94"/>
    </row>
    <row r="106" spans="2:11" ht="18" customHeight="1">
      <c r="B106" s="6"/>
      <c r="C106" s="6"/>
      <c r="D106" s="31"/>
      <c r="E106" s="31"/>
      <c r="F106" s="31"/>
      <c r="G106" s="6"/>
      <c r="H106" s="35"/>
      <c r="K106" s="94"/>
    </row>
    <row r="107" spans="2:11" ht="18" customHeight="1">
      <c r="B107" s="6"/>
      <c r="C107" s="6"/>
      <c r="D107" s="31"/>
      <c r="E107" s="31"/>
      <c r="F107" s="31"/>
      <c r="G107" s="6"/>
      <c r="H107" s="35"/>
      <c r="K107" s="94"/>
    </row>
    <row r="108" spans="2:11" ht="18" customHeight="1">
      <c r="B108" s="6"/>
      <c r="C108" s="6"/>
      <c r="D108" s="31"/>
      <c r="E108" s="31"/>
      <c r="F108" s="31"/>
      <c r="G108" s="6"/>
      <c r="H108" s="35"/>
      <c r="K108" s="94"/>
    </row>
    <row r="109" spans="2:11" ht="18" customHeight="1">
      <c r="B109" s="6"/>
      <c r="C109" s="6"/>
      <c r="D109" s="31"/>
      <c r="E109" s="31"/>
      <c r="F109" s="31"/>
      <c r="G109" s="6"/>
      <c r="H109" s="35"/>
      <c r="K109" s="94"/>
    </row>
    <row r="110" spans="2:11" ht="18" customHeight="1">
      <c r="B110" s="6"/>
      <c r="C110" s="6"/>
      <c r="D110" s="31"/>
      <c r="E110" s="31"/>
      <c r="F110" s="31"/>
      <c r="G110" s="6"/>
      <c r="H110" s="35"/>
      <c r="K110" s="94"/>
    </row>
    <row r="111" spans="2:11" ht="18" customHeight="1">
      <c r="B111" s="6"/>
      <c r="C111" s="6"/>
      <c r="D111" s="31"/>
      <c r="E111" s="31"/>
      <c r="F111" s="31"/>
      <c r="G111" s="6"/>
      <c r="H111" s="35"/>
      <c r="K111" s="94"/>
    </row>
    <row r="112" spans="2:11" ht="18" customHeight="1">
      <c r="B112" s="6"/>
      <c r="C112" s="6"/>
      <c r="D112" s="31"/>
      <c r="E112" s="31"/>
      <c r="F112" s="31"/>
      <c r="G112" s="6"/>
      <c r="H112" s="35"/>
      <c r="K112" s="94"/>
    </row>
    <row r="113" spans="2:11" ht="18" customHeight="1">
      <c r="B113" s="6"/>
      <c r="C113" s="6"/>
      <c r="D113" s="31"/>
      <c r="E113" s="31"/>
      <c r="F113" s="31"/>
      <c r="G113" s="6"/>
      <c r="H113" s="35"/>
      <c r="K113" s="94"/>
    </row>
    <row r="114" spans="2:11" ht="18" customHeight="1">
      <c r="B114" s="6"/>
      <c r="C114" s="6"/>
      <c r="D114" s="31"/>
      <c r="E114" s="31"/>
      <c r="F114" s="31"/>
      <c r="G114" s="6"/>
      <c r="H114" s="35"/>
      <c r="K114" s="94"/>
    </row>
    <row r="115" spans="2:11" ht="18" customHeight="1">
      <c r="B115" s="6"/>
      <c r="C115" s="6"/>
      <c r="D115" s="31"/>
      <c r="E115" s="31"/>
      <c r="F115" s="31"/>
      <c r="G115" s="6"/>
      <c r="H115" s="35"/>
      <c r="K115" s="94"/>
    </row>
    <row r="116" spans="2:11" ht="18" customHeight="1">
      <c r="B116" s="6"/>
      <c r="C116" s="6"/>
      <c r="D116" s="31"/>
      <c r="E116" s="31"/>
      <c r="F116" s="31"/>
      <c r="G116" s="6"/>
      <c r="H116" s="35"/>
      <c r="K116" s="94"/>
    </row>
    <row r="117" spans="2:11" ht="18" customHeight="1">
      <c r="B117" s="6"/>
      <c r="C117" s="6"/>
      <c r="D117" s="31"/>
      <c r="E117" s="31"/>
      <c r="F117" s="31"/>
      <c r="G117" s="6"/>
      <c r="H117" s="35"/>
      <c r="K117" s="94"/>
    </row>
    <row r="118" spans="2:11" ht="18" customHeight="1">
      <c r="B118" s="6"/>
      <c r="C118" s="6"/>
      <c r="D118" s="31"/>
      <c r="E118" s="31"/>
      <c r="F118" s="31"/>
      <c r="G118" s="6"/>
      <c r="H118" s="35"/>
      <c r="K118" s="94"/>
    </row>
    <row r="119" spans="2:11" ht="18" customHeight="1">
      <c r="B119" s="6"/>
      <c r="C119" s="6"/>
      <c r="D119" s="31"/>
      <c r="E119" s="31"/>
      <c r="F119" s="31"/>
      <c r="G119" s="6"/>
      <c r="H119" s="35"/>
      <c r="K119" s="94"/>
    </row>
    <row r="120" spans="2:11" ht="18" customHeight="1">
      <c r="B120" s="6"/>
      <c r="C120" s="6"/>
      <c r="D120" s="31"/>
      <c r="E120" s="31"/>
      <c r="F120" s="31"/>
      <c r="G120" s="6"/>
      <c r="H120" s="35"/>
      <c r="K120" s="94"/>
    </row>
    <row r="121" spans="2:11" ht="18" customHeight="1">
      <c r="B121" s="6"/>
      <c r="C121" s="6"/>
      <c r="D121" s="31"/>
      <c r="E121" s="31"/>
      <c r="F121" s="31"/>
      <c r="G121" s="6"/>
      <c r="H121" s="35"/>
      <c r="K121" s="94"/>
    </row>
    <row r="122" spans="2:11" ht="18" customHeight="1">
      <c r="B122" s="6"/>
      <c r="C122" s="6"/>
      <c r="D122" s="31"/>
      <c r="E122" s="31"/>
      <c r="F122" s="31"/>
      <c r="G122" s="6"/>
      <c r="H122" s="35"/>
      <c r="K122" s="94"/>
    </row>
    <row r="123" spans="2:11" ht="18" customHeight="1">
      <c r="B123" s="6"/>
      <c r="C123" s="6"/>
      <c r="D123" s="31"/>
      <c r="E123" s="31"/>
      <c r="F123" s="31"/>
      <c r="G123" s="6"/>
      <c r="H123" s="35"/>
      <c r="K123" s="94"/>
    </row>
    <row r="124" spans="2:11" ht="18" customHeight="1">
      <c r="B124" s="6"/>
      <c r="C124" s="6"/>
      <c r="D124" s="31"/>
      <c r="E124" s="31"/>
      <c r="F124" s="31"/>
      <c r="G124" s="6"/>
      <c r="H124" s="35"/>
      <c r="K124" s="94"/>
    </row>
    <row r="125" spans="2:11" ht="18" customHeight="1">
      <c r="B125" s="6"/>
      <c r="C125" s="6"/>
      <c r="D125" s="31"/>
      <c r="E125" s="31"/>
      <c r="F125" s="31"/>
      <c r="G125" s="6"/>
      <c r="H125" s="35"/>
      <c r="K125" s="94"/>
    </row>
    <row r="126" spans="2:11" ht="18" customHeight="1">
      <c r="B126" s="6"/>
      <c r="C126" s="6"/>
      <c r="D126" s="31"/>
      <c r="E126" s="31"/>
      <c r="F126" s="31"/>
      <c r="G126" s="6"/>
      <c r="H126" s="35"/>
      <c r="K126" s="94"/>
    </row>
    <row r="127" spans="2:11" ht="18" customHeight="1">
      <c r="B127" s="6"/>
      <c r="C127" s="6"/>
      <c r="D127" s="31"/>
      <c r="E127" s="31"/>
      <c r="F127" s="31"/>
      <c r="G127" s="6"/>
      <c r="H127" s="35"/>
      <c r="K127" s="94"/>
    </row>
    <row r="128" spans="2:11" ht="18" customHeight="1">
      <c r="B128" s="6"/>
      <c r="C128" s="6"/>
      <c r="D128" s="31"/>
      <c r="E128" s="31"/>
      <c r="F128" s="31"/>
      <c r="G128" s="6"/>
      <c r="H128" s="35"/>
      <c r="K128" s="94"/>
    </row>
    <row r="129" spans="2:11" ht="18" customHeight="1">
      <c r="B129" s="6"/>
      <c r="C129" s="6"/>
      <c r="D129" s="31"/>
      <c r="E129" s="31"/>
      <c r="F129" s="31"/>
      <c r="G129" s="6"/>
      <c r="H129" s="35"/>
      <c r="K129" s="94"/>
    </row>
    <row r="130" spans="2:11" ht="18" customHeight="1">
      <c r="B130" s="6"/>
      <c r="C130" s="6"/>
      <c r="D130" s="31"/>
      <c r="E130" s="31"/>
      <c r="F130" s="31"/>
      <c r="G130" s="6"/>
      <c r="H130" s="35"/>
      <c r="K130" s="94"/>
    </row>
    <row r="131" spans="2:11" ht="18" customHeight="1">
      <c r="B131" s="6"/>
      <c r="C131" s="6"/>
      <c r="D131" s="31"/>
      <c r="E131" s="31"/>
      <c r="F131" s="31"/>
      <c r="G131" s="6"/>
      <c r="H131" s="35"/>
      <c r="K131" s="94"/>
    </row>
    <row r="132" spans="2:11" ht="18" customHeight="1">
      <c r="B132" s="6"/>
      <c r="C132" s="6"/>
      <c r="D132" s="31"/>
      <c r="E132" s="31"/>
      <c r="F132" s="31"/>
      <c r="G132" s="6"/>
      <c r="H132" s="35"/>
      <c r="K132" s="94"/>
    </row>
    <row r="133" spans="2:11" ht="18" customHeight="1">
      <c r="B133" s="6"/>
      <c r="C133" s="6"/>
      <c r="D133" s="31"/>
      <c r="E133" s="31"/>
      <c r="F133" s="31"/>
      <c r="G133" s="6"/>
      <c r="H133" s="35"/>
      <c r="K133" s="94"/>
    </row>
    <row r="134" spans="2:11" ht="18" customHeight="1">
      <c r="B134" s="6"/>
      <c r="C134" s="6"/>
      <c r="D134" s="31"/>
      <c r="E134" s="31"/>
      <c r="F134" s="31"/>
      <c r="G134" s="6"/>
      <c r="H134" s="35"/>
      <c r="K134" s="94"/>
    </row>
    <row r="135" spans="2:11" ht="18" customHeight="1">
      <c r="B135" s="6"/>
      <c r="C135" s="6"/>
      <c r="D135" s="31"/>
      <c r="E135" s="31"/>
      <c r="F135" s="31"/>
      <c r="G135" s="6"/>
      <c r="H135" s="35"/>
      <c r="K135" s="94"/>
    </row>
    <row r="136" spans="2:11" ht="18" customHeight="1">
      <c r="B136" s="6"/>
      <c r="C136" s="6"/>
      <c r="D136" s="31"/>
      <c r="E136" s="31"/>
      <c r="F136" s="31"/>
      <c r="G136" s="6"/>
      <c r="H136" s="35"/>
      <c r="K136" s="94"/>
    </row>
    <row r="137" spans="2:11" ht="18" customHeight="1">
      <c r="B137" s="6"/>
      <c r="C137" s="6"/>
      <c r="D137" s="31"/>
      <c r="E137" s="31"/>
      <c r="F137" s="31"/>
      <c r="G137" s="6"/>
      <c r="H137" s="35"/>
      <c r="K137" s="94"/>
    </row>
    <row r="138" spans="2:11" ht="18" customHeight="1">
      <c r="B138" s="6"/>
      <c r="C138" s="6"/>
      <c r="D138" s="31"/>
      <c r="E138" s="31"/>
      <c r="F138" s="31"/>
      <c r="G138" s="6"/>
      <c r="H138" s="35"/>
      <c r="K138" s="94"/>
    </row>
    <row r="139" spans="2:11" ht="18" customHeight="1">
      <c r="B139" s="6"/>
      <c r="C139" s="6"/>
      <c r="D139" s="31"/>
      <c r="E139" s="31"/>
      <c r="F139" s="31"/>
      <c r="G139" s="6"/>
      <c r="H139" s="35"/>
      <c r="K139" s="94"/>
    </row>
    <row r="140" spans="2:11" ht="18" customHeight="1">
      <c r="B140" s="6"/>
      <c r="C140" s="6"/>
      <c r="D140" s="31"/>
      <c r="E140" s="31"/>
      <c r="F140" s="31"/>
      <c r="G140" s="6"/>
      <c r="H140" s="35"/>
      <c r="K140" s="94"/>
    </row>
    <row r="141" spans="2:11" ht="18" customHeight="1">
      <c r="B141" s="6"/>
      <c r="C141" s="6"/>
      <c r="D141" s="31"/>
      <c r="E141" s="31"/>
      <c r="F141" s="31"/>
      <c r="G141" s="6"/>
      <c r="H141" s="35"/>
      <c r="K141" s="94"/>
    </row>
    <row r="142" spans="2:11" ht="18" customHeight="1">
      <c r="B142" s="6"/>
      <c r="C142" s="6"/>
      <c r="D142" s="31"/>
      <c r="E142" s="31"/>
      <c r="F142" s="31"/>
      <c r="G142" s="6"/>
      <c r="H142" s="35"/>
      <c r="K142" s="94"/>
    </row>
    <row r="143" spans="2:11" ht="18" customHeight="1">
      <c r="B143" s="6"/>
      <c r="C143" s="6"/>
      <c r="D143" s="31"/>
      <c r="E143" s="31"/>
      <c r="F143" s="31"/>
      <c r="G143" s="6"/>
      <c r="H143" s="35"/>
      <c r="K143" s="94"/>
    </row>
    <row r="144" spans="2:11" ht="18" customHeight="1">
      <c r="B144" s="6"/>
      <c r="C144" s="6"/>
      <c r="D144" s="31"/>
      <c r="E144" s="31"/>
      <c r="F144" s="31"/>
      <c r="G144" s="6"/>
      <c r="H144" s="35"/>
      <c r="K144" s="94"/>
    </row>
    <row r="145" spans="2:11" ht="18" customHeight="1">
      <c r="B145" s="6"/>
      <c r="C145" s="6"/>
      <c r="D145" s="31"/>
      <c r="E145" s="31"/>
      <c r="F145" s="31"/>
      <c r="G145" s="6"/>
      <c r="H145" s="35"/>
      <c r="K145" s="94"/>
    </row>
    <row r="146" spans="2:11" ht="18" customHeight="1">
      <c r="B146" s="6"/>
      <c r="C146" s="6"/>
      <c r="D146" s="31"/>
      <c r="E146" s="31"/>
      <c r="F146" s="31"/>
      <c r="G146" s="6"/>
      <c r="H146" s="35"/>
      <c r="K146" s="94"/>
    </row>
    <row r="147" spans="2:11" ht="18" customHeight="1">
      <c r="B147" s="6"/>
      <c r="C147" s="6"/>
      <c r="D147" s="31"/>
      <c r="E147" s="31"/>
      <c r="F147" s="31"/>
      <c r="G147" s="6"/>
      <c r="H147" s="35"/>
      <c r="K147" s="94"/>
    </row>
    <row r="148" spans="2:11" ht="18" customHeight="1">
      <c r="B148" s="6"/>
      <c r="C148" s="6"/>
      <c r="D148" s="31"/>
      <c r="E148" s="31"/>
      <c r="F148" s="31"/>
      <c r="G148" s="6"/>
      <c r="H148" s="35"/>
      <c r="K148" s="94"/>
    </row>
    <row r="149" spans="2:11" ht="18" customHeight="1">
      <c r="B149" s="6"/>
      <c r="C149" s="6"/>
      <c r="D149" s="31"/>
      <c r="E149" s="31"/>
      <c r="F149" s="31"/>
      <c r="G149" s="6"/>
      <c r="H149" s="35"/>
      <c r="K149" s="94"/>
    </row>
    <row r="150" spans="2:11" ht="18" customHeight="1">
      <c r="B150" s="6"/>
      <c r="C150" s="6"/>
      <c r="D150" s="31"/>
      <c r="E150" s="31"/>
      <c r="F150" s="31"/>
      <c r="G150" s="6"/>
      <c r="H150" s="35"/>
      <c r="K150" s="94"/>
    </row>
    <row r="151" spans="2:11" ht="18" customHeight="1">
      <c r="B151" s="6"/>
      <c r="C151" s="6"/>
      <c r="D151" s="31"/>
      <c r="E151" s="31"/>
      <c r="F151" s="31"/>
      <c r="G151" s="6"/>
      <c r="H151" s="35"/>
      <c r="K151" s="94"/>
    </row>
    <row r="152" spans="2:11" ht="18" customHeight="1">
      <c r="B152" s="6"/>
      <c r="C152" s="6"/>
      <c r="D152" s="31"/>
      <c r="E152" s="31"/>
      <c r="F152" s="31"/>
      <c r="G152" s="6"/>
      <c r="H152" s="35"/>
      <c r="K152" s="94"/>
    </row>
    <row r="153" spans="2:11" ht="18" customHeight="1">
      <c r="B153" s="6"/>
      <c r="C153" s="6"/>
      <c r="D153" s="31"/>
      <c r="E153" s="31"/>
      <c r="F153" s="31"/>
      <c r="G153" s="6"/>
      <c r="H153" s="35"/>
      <c r="K153" s="94"/>
    </row>
    <row r="154" spans="2:11" ht="18" customHeight="1">
      <c r="B154" s="6"/>
      <c r="C154" s="6"/>
      <c r="D154" s="31"/>
      <c r="E154" s="31"/>
      <c r="F154" s="31"/>
      <c r="G154" s="6"/>
      <c r="H154" s="35"/>
      <c r="K154" s="94"/>
    </row>
    <row r="155" spans="2:11" ht="18" customHeight="1">
      <c r="B155" s="6"/>
      <c r="C155" s="6"/>
      <c r="D155" s="31"/>
      <c r="E155" s="31"/>
      <c r="F155" s="31"/>
      <c r="G155" s="6"/>
      <c r="H155" s="35"/>
      <c r="K155" s="94"/>
    </row>
    <row r="156" spans="2:11" ht="18" customHeight="1">
      <c r="B156" s="6"/>
      <c r="C156" s="6"/>
      <c r="D156" s="31"/>
      <c r="E156" s="31"/>
      <c r="F156" s="31"/>
      <c r="G156" s="6"/>
      <c r="H156" s="35"/>
      <c r="K156" s="94"/>
    </row>
    <row r="157" spans="2:11" ht="18" customHeight="1">
      <c r="B157" s="6"/>
      <c r="C157" s="6"/>
      <c r="D157" s="31"/>
      <c r="E157" s="31"/>
      <c r="F157" s="31"/>
      <c r="G157" s="6"/>
      <c r="H157" s="35"/>
      <c r="K157" s="94"/>
    </row>
    <row r="158" spans="2:11" ht="18" customHeight="1">
      <c r="B158" s="6"/>
      <c r="C158" s="6"/>
      <c r="D158" s="31"/>
      <c r="E158" s="31"/>
      <c r="F158" s="31"/>
      <c r="G158" s="6"/>
      <c r="H158" s="35"/>
      <c r="K158" s="94"/>
    </row>
    <row r="159" spans="2:11" ht="18" customHeight="1">
      <c r="B159" s="6"/>
      <c r="C159" s="6"/>
      <c r="D159" s="31"/>
      <c r="E159" s="31"/>
      <c r="F159" s="31"/>
      <c r="G159" s="6"/>
      <c r="H159" s="35"/>
      <c r="K159" s="94"/>
    </row>
    <row r="160" spans="2:11" ht="18" customHeight="1">
      <c r="B160" s="6"/>
      <c r="C160" s="6"/>
      <c r="D160" s="31"/>
      <c r="E160" s="31"/>
      <c r="F160" s="31"/>
      <c r="G160" s="6"/>
      <c r="H160" s="35"/>
      <c r="K160" s="94"/>
    </row>
    <row r="161" spans="2:11" ht="18" customHeight="1">
      <c r="B161" s="6"/>
      <c r="C161" s="6"/>
      <c r="D161" s="31"/>
      <c r="E161" s="31"/>
      <c r="F161" s="31"/>
      <c r="G161" s="6"/>
      <c r="H161" s="35"/>
      <c r="K161" s="94"/>
    </row>
    <row r="162" spans="2:11" ht="18" customHeight="1">
      <c r="B162" s="6"/>
      <c r="C162" s="6"/>
      <c r="D162" s="31"/>
      <c r="E162" s="31"/>
      <c r="F162" s="31"/>
      <c r="G162" s="6"/>
      <c r="H162" s="35"/>
      <c r="K162" s="94"/>
    </row>
    <row r="163" spans="2:11" ht="18" customHeight="1">
      <c r="B163" s="6"/>
      <c r="C163" s="6"/>
      <c r="D163" s="31"/>
      <c r="E163" s="31"/>
      <c r="F163" s="31"/>
      <c r="G163" s="6"/>
      <c r="H163" s="35"/>
      <c r="K163" s="94"/>
    </row>
    <row r="164" spans="2:11" ht="18" customHeight="1">
      <c r="B164" s="6"/>
      <c r="C164" s="6"/>
      <c r="D164" s="31"/>
      <c r="E164" s="31"/>
      <c r="F164" s="31"/>
      <c r="G164" s="6"/>
      <c r="H164" s="35"/>
      <c r="K164" s="94"/>
    </row>
    <row r="165" spans="2:11" ht="18" customHeight="1">
      <c r="B165" s="6"/>
      <c r="C165" s="6"/>
      <c r="D165" s="31"/>
      <c r="E165" s="31"/>
      <c r="F165" s="31"/>
      <c r="G165" s="6"/>
      <c r="H165" s="35"/>
      <c r="K165" s="94"/>
    </row>
    <row r="166" spans="2:11" ht="18" customHeight="1">
      <c r="B166" s="6"/>
      <c r="C166" s="6"/>
      <c r="D166" s="31"/>
      <c r="E166" s="31"/>
      <c r="F166" s="31"/>
      <c r="G166" s="6"/>
      <c r="H166" s="35"/>
      <c r="K166" s="94"/>
    </row>
    <row r="167" spans="2:11" ht="18" customHeight="1">
      <c r="B167" s="6"/>
      <c r="C167" s="6"/>
      <c r="D167" s="31"/>
      <c r="E167" s="31"/>
      <c r="F167" s="31"/>
      <c r="G167" s="6"/>
      <c r="H167" s="35"/>
      <c r="K167" s="94"/>
    </row>
    <row r="168" spans="2:11" ht="18" customHeight="1">
      <c r="B168" s="6"/>
      <c r="C168" s="6"/>
      <c r="D168" s="31"/>
      <c r="E168" s="31"/>
      <c r="F168" s="31"/>
      <c r="G168" s="6"/>
      <c r="H168" s="35"/>
      <c r="K168" s="94"/>
    </row>
    <row r="169" spans="2:11" ht="18" customHeight="1">
      <c r="B169" s="6"/>
      <c r="C169" s="6"/>
      <c r="D169" s="31"/>
      <c r="E169" s="31"/>
      <c r="F169" s="31"/>
      <c r="G169" s="6"/>
      <c r="H169" s="35"/>
      <c r="K169" s="94"/>
    </row>
    <row r="170" spans="2:11" ht="18" customHeight="1">
      <c r="B170" s="6"/>
      <c r="C170" s="6"/>
      <c r="D170" s="31"/>
      <c r="E170" s="31"/>
      <c r="F170" s="31"/>
      <c r="G170" s="6"/>
      <c r="H170" s="35"/>
      <c r="K170" s="94"/>
    </row>
    <row r="171" spans="2:11" ht="18" customHeight="1">
      <c r="B171" s="6"/>
      <c r="C171" s="6"/>
      <c r="D171" s="31"/>
      <c r="E171" s="31"/>
      <c r="F171" s="31"/>
      <c r="G171" s="6"/>
      <c r="H171" s="35"/>
      <c r="K171" s="94"/>
    </row>
    <row r="172" spans="2:11" ht="18" customHeight="1">
      <c r="B172" s="6"/>
      <c r="C172" s="6"/>
      <c r="D172" s="31"/>
      <c r="E172" s="31"/>
      <c r="F172" s="31"/>
      <c r="G172" s="6"/>
      <c r="H172" s="35"/>
      <c r="K172" s="94"/>
    </row>
    <row r="173" spans="2:11" ht="18" customHeight="1">
      <c r="B173" s="6"/>
      <c r="C173" s="6"/>
      <c r="D173" s="31"/>
      <c r="E173" s="31"/>
      <c r="F173" s="31"/>
      <c r="G173" s="6"/>
      <c r="H173" s="35"/>
      <c r="K173" s="94"/>
    </row>
    <row r="174" spans="2:11" ht="18" customHeight="1">
      <c r="B174" s="6"/>
      <c r="C174" s="6"/>
      <c r="D174" s="31"/>
      <c r="E174" s="31"/>
      <c r="F174" s="31"/>
      <c r="G174" s="6"/>
      <c r="H174" s="35"/>
      <c r="K174" s="94"/>
    </row>
    <row r="175" spans="2:11" ht="18" customHeight="1">
      <c r="B175" s="6"/>
      <c r="C175" s="6"/>
      <c r="D175" s="31"/>
      <c r="E175" s="31"/>
      <c r="F175" s="31"/>
      <c r="G175" s="6"/>
      <c r="H175" s="35"/>
      <c r="K175" s="94"/>
    </row>
    <row r="176" spans="2:11" ht="18" customHeight="1">
      <c r="B176" s="6"/>
      <c r="C176" s="6"/>
      <c r="D176" s="31"/>
      <c r="E176" s="31"/>
      <c r="F176" s="31"/>
      <c r="G176" s="6"/>
      <c r="H176" s="35"/>
      <c r="K176" s="94"/>
    </row>
    <row r="177" spans="2:11" ht="18" customHeight="1">
      <c r="B177" s="6"/>
      <c r="C177" s="6"/>
      <c r="D177" s="31"/>
      <c r="E177" s="31"/>
      <c r="F177" s="31"/>
      <c r="G177" s="6"/>
      <c r="H177" s="35"/>
      <c r="K177" s="94"/>
    </row>
    <row r="178" spans="2:11" ht="18" customHeight="1">
      <c r="B178" s="6"/>
      <c r="C178" s="6"/>
      <c r="D178" s="31"/>
      <c r="E178" s="31"/>
      <c r="F178" s="31"/>
      <c r="G178" s="6"/>
      <c r="H178" s="35"/>
      <c r="K178" s="94"/>
    </row>
    <row r="179" spans="2:11" ht="18" customHeight="1">
      <c r="B179" s="6"/>
      <c r="C179" s="6"/>
      <c r="D179" s="31"/>
      <c r="E179" s="31"/>
      <c r="F179" s="31"/>
      <c r="G179" s="6"/>
      <c r="H179" s="35"/>
      <c r="K179" s="94"/>
    </row>
    <row r="180" spans="2:11" ht="18" customHeight="1">
      <c r="B180" s="6"/>
      <c r="C180" s="6"/>
      <c r="D180" s="31"/>
      <c r="E180" s="31"/>
      <c r="F180" s="31"/>
      <c r="G180" s="6"/>
      <c r="H180" s="35"/>
      <c r="K180" s="94"/>
    </row>
    <row r="181" spans="2:11" ht="18" customHeight="1">
      <c r="B181" s="6"/>
      <c r="C181" s="6"/>
      <c r="D181" s="31"/>
      <c r="E181" s="31"/>
      <c r="F181" s="31"/>
      <c r="G181" s="6"/>
      <c r="H181" s="35"/>
      <c r="K181" s="94"/>
    </row>
    <row r="182" spans="2:11" ht="18" customHeight="1">
      <c r="B182" s="6"/>
      <c r="C182" s="6"/>
      <c r="D182" s="31"/>
      <c r="E182" s="31"/>
      <c r="F182" s="31"/>
      <c r="G182" s="6"/>
      <c r="H182" s="35"/>
      <c r="K182" s="94"/>
    </row>
    <row r="183" spans="2:11" ht="18" customHeight="1">
      <c r="B183" s="6"/>
      <c r="C183" s="6"/>
      <c r="D183" s="31"/>
      <c r="E183" s="31"/>
      <c r="F183" s="31"/>
      <c r="G183" s="6"/>
      <c r="H183" s="35"/>
      <c r="K183" s="94"/>
    </row>
    <row r="184" spans="2:11" ht="18" customHeight="1">
      <c r="B184" s="6"/>
      <c r="C184" s="6"/>
      <c r="D184" s="31"/>
      <c r="E184" s="31"/>
      <c r="F184" s="31"/>
      <c r="G184" s="6"/>
      <c r="H184" s="35"/>
      <c r="K184" s="94"/>
    </row>
    <row r="185" spans="2:11" ht="18" customHeight="1">
      <c r="B185" s="6"/>
      <c r="C185" s="6"/>
      <c r="D185" s="31"/>
      <c r="E185" s="31"/>
      <c r="F185" s="31"/>
      <c r="G185" s="6"/>
      <c r="H185" s="35"/>
      <c r="K185" s="94"/>
    </row>
    <row r="186" spans="2:11" ht="18" customHeight="1">
      <c r="B186" s="6"/>
      <c r="C186" s="6"/>
      <c r="D186" s="31"/>
      <c r="E186" s="31"/>
      <c r="F186" s="31"/>
      <c r="G186" s="6"/>
      <c r="H186" s="35"/>
      <c r="K186" s="94"/>
    </row>
    <row r="187" spans="2:11" ht="18" customHeight="1">
      <c r="B187" s="6"/>
      <c r="C187" s="6"/>
      <c r="D187" s="31"/>
      <c r="E187" s="31"/>
      <c r="F187" s="31"/>
      <c r="G187" s="6"/>
      <c r="H187" s="35"/>
      <c r="K187" s="94"/>
    </row>
    <row r="188" spans="2:11" ht="18" customHeight="1">
      <c r="B188" s="6"/>
      <c r="C188" s="6"/>
      <c r="D188" s="31"/>
      <c r="E188" s="31"/>
      <c r="F188" s="31"/>
      <c r="G188" s="6"/>
      <c r="H188" s="35"/>
      <c r="K188" s="94"/>
    </row>
    <row r="189" spans="2:11" ht="18" customHeight="1">
      <c r="B189" s="6"/>
      <c r="C189" s="6"/>
      <c r="D189" s="31"/>
      <c r="E189" s="31"/>
      <c r="F189" s="31"/>
      <c r="G189" s="6"/>
      <c r="H189" s="35"/>
      <c r="K189" s="94"/>
    </row>
    <row r="190" spans="2:11" ht="18" customHeight="1">
      <c r="B190" s="6"/>
      <c r="C190" s="6"/>
      <c r="D190" s="31"/>
      <c r="E190" s="31"/>
      <c r="F190" s="31"/>
      <c r="G190" s="6"/>
      <c r="H190" s="35"/>
      <c r="K190" s="94"/>
    </row>
    <row r="191" spans="2:11" ht="18" customHeight="1">
      <c r="B191" s="6"/>
      <c r="C191" s="6"/>
      <c r="D191" s="31"/>
      <c r="E191" s="31"/>
      <c r="F191" s="31"/>
      <c r="G191" s="6"/>
      <c r="H191" s="35"/>
      <c r="K191" s="94"/>
    </row>
    <row r="192" spans="2:11" ht="18" customHeight="1">
      <c r="B192" s="6"/>
      <c r="C192" s="6"/>
      <c r="D192" s="31"/>
      <c r="E192" s="31"/>
      <c r="F192" s="31"/>
      <c r="G192" s="6"/>
      <c r="H192" s="35"/>
      <c r="K192" s="94"/>
    </row>
    <row r="193" spans="2:11" ht="18" customHeight="1">
      <c r="B193" s="6"/>
      <c r="C193" s="6"/>
      <c r="D193" s="31"/>
      <c r="E193" s="31"/>
      <c r="F193" s="31"/>
      <c r="G193" s="6"/>
      <c r="H193" s="35"/>
      <c r="K193" s="94"/>
    </row>
    <row r="194" spans="2:11" ht="18" customHeight="1">
      <c r="B194" s="6"/>
      <c r="C194" s="6"/>
      <c r="D194" s="31"/>
      <c r="E194" s="31"/>
      <c r="F194" s="31"/>
      <c r="G194" s="6"/>
      <c r="H194" s="35"/>
      <c r="K194" s="94"/>
    </row>
    <row r="195" spans="2:11" ht="18" customHeight="1">
      <c r="B195" s="6"/>
      <c r="C195" s="6"/>
      <c r="D195" s="31"/>
      <c r="E195" s="31"/>
      <c r="F195" s="31"/>
      <c r="G195" s="6"/>
      <c r="H195" s="35"/>
      <c r="K195" s="94"/>
    </row>
    <row r="196" spans="2:11" ht="18" customHeight="1">
      <c r="B196" s="6"/>
      <c r="C196" s="6"/>
      <c r="D196" s="31"/>
      <c r="E196" s="31"/>
      <c r="F196" s="31"/>
      <c r="G196" s="6"/>
      <c r="H196" s="35"/>
      <c r="K196" s="94"/>
    </row>
    <row r="197" spans="2:11" ht="18" customHeight="1">
      <c r="B197" s="6"/>
      <c r="C197" s="6"/>
      <c r="D197" s="31"/>
      <c r="E197" s="31"/>
      <c r="F197" s="31"/>
      <c r="G197" s="6"/>
      <c r="H197" s="35"/>
      <c r="K197" s="94"/>
    </row>
    <row r="198" spans="2:11" ht="18" customHeight="1">
      <c r="B198" s="6"/>
      <c r="C198" s="6"/>
      <c r="D198" s="31"/>
      <c r="E198" s="31"/>
      <c r="F198" s="31"/>
      <c r="G198" s="6"/>
      <c r="H198" s="35"/>
      <c r="K198" s="94"/>
    </row>
    <row r="199" spans="2:11" ht="18" customHeight="1">
      <c r="B199" s="6"/>
      <c r="C199" s="6"/>
      <c r="D199" s="31"/>
      <c r="E199" s="31"/>
      <c r="F199" s="31"/>
      <c r="G199" s="6"/>
      <c r="H199" s="35"/>
      <c r="K199" s="94"/>
    </row>
    <row r="200" spans="2:11" ht="18" customHeight="1">
      <c r="B200" s="6"/>
      <c r="C200" s="6"/>
      <c r="D200" s="31"/>
      <c r="E200" s="31"/>
      <c r="F200" s="31"/>
      <c r="G200" s="6"/>
      <c r="H200" s="35"/>
      <c r="K200" s="94"/>
    </row>
  </sheetData>
  <sheetProtection insertRows="0"/>
  <autoFilter ref="B2:I2" xr:uid="{00000000-0001-0000-0700-000000000000}"/>
  <phoneticPr fontId="5" type="noConversion"/>
  <conditionalFormatting sqref="D3:E1048576">
    <cfRule type="expression" dxfId="13" priority="4">
      <formula>OR($C3="방열기",$C3="전기방열기",$C3="바닥난방",$C3="공조기",$C3="팬코일유닛",$C3="전기바닥난방")</formula>
    </cfRule>
  </conditionalFormatting>
  <conditionalFormatting sqref="F3:F1048576">
    <cfRule type="expression" dxfId="12" priority="3">
      <formula>OR($C3="패키지에어컨",$C3="공조기",$C3="팬코일유닛",$C3="바닥난방",$C3="전기바닥난방")</formula>
    </cfRule>
  </conditionalFormatting>
  <conditionalFormatting sqref="G3:G1048576">
    <cfRule type="expression" dxfId="11" priority="1">
      <formula>OR($C3="바닥난방",$C3="전기바닥난방")</formula>
    </cfRule>
  </conditionalFormatting>
  <conditionalFormatting sqref="H3:H1048576">
    <cfRule type="expression" dxfId="10" priority="2">
      <formula>OR($C3="패키지에어컨",$C3="전기방열기",$C3="전기바닥난방")</formula>
    </cfRule>
  </conditionalFormatting>
  <dataValidations count="8">
    <dataValidation allowBlank="1" showInputMessage="1" showErrorMessage="1" promptTitle="공급설비_생산설비명" prompt="생산설비탭에서 입력한 이름을 동일하게 입력." sqref="H2" xr:uid="{00000000-0002-0000-0700-000000000000}"/>
    <dataValidation type="list" allowBlank="1" showInputMessage="1" showErrorMessage="1" sqref="H3:H1048576" xr:uid="{00000000-0002-0000-0700-000001000000}">
      <formula1>생산설비_이름목록</formula1>
    </dataValidation>
    <dataValidation type="whole" allowBlank="1" showInputMessage="1" showErrorMessage="1" sqref="G3:G1048576" xr:uid="{B0BF658A-23A4-408C-BEB5-0EA512FD7A39}">
      <formula1>1</formula1>
      <formula2>999</formula2>
    </dataValidation>
    <dataValidation type="list" allowBlank="1" showInputMessage="1" showErrorMessage="1" sqref="I3:I1048576" xr:uid="{E966601C-81D4-4A6D-94CA-C91B64B11941}">
      <formula1>실_이름목록</formula1>
    </dataValidation>
    <dataValidation type="decimal" allowBlank="1" showInputMessage="1" showErrorMessage="1" sqref="D3:D1048576" xr:uid="{69DB195A-3EFD-4242-B503-D7E3B221C03B}">
      <formula1>0</formula1>
      <formula2>20</formula2>
    </dataValidation>
    <dataValidation type="decimal" allowBlank="1" showInputMessage="1" showErrorMessage="1" sqref="E3:F1048576" xr:uid="{310F7299-3759-4275-AFA4-7BB8D60BE44C}">
      <formula1>0</formula1>
      <formula2>99999999</formula2>
    </dataValidation>
    <dataValidation type="custom" allowBlank="1" showInputMessage="1" showErrorMessage="1" errorTitle="공급설비_이름" error="공급설비의 이름이 중복되었습니다. 다른 이름을 입력해주세요." sqref="B3:B1048576" xr:uid="{00000000-0002-0000-0700-000002000000}">
      <formula1>COUNTIF($B$3:$B$102, B3)=1</formula1>
    </dataValidation>
    <dataValidation type="list" allowBlank="1" showInputMessage="1" showErrorMessage="1" sqref="K3:K200" xr:uid="{571905A7-6CF5-4424-82EA-3A06DD1FB613}">
      <formula1>"ECO2, ECO2-OD, 평면도, 계획도(설비), 사진, 전자 체크리스트, 재검수 필요"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6EF914-7BB2-487C-97D9-223F77B693AC}">
          <x14:formula1>
            <xm:f>참조!$F$2:$F$8</xm:f>
          </x14:formula1>
          <xm:sqref>C3:C1048576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outlinePr summaryBelow="0" summaryRight="0"/>
  </sheetPr>
  <dimension ref="B1:Q101"/>
  <sheetViews>
    <sheetView zoomScaleNormal="100" workbookViewId="0">
      <selection activeCell="B3" sqref="B3"/>
    </sheetView>
  </sheetViews>
  <sheetFormatPr defaultColWidth="12.5703125" defaultRowHeight="18" customHeight="1"/>
  <cols>
    <col min="1" max="1" width="1.85546875" style="5" customWidth="1"/>
    <col min="2" max="3" width="12.5703125" style="5" customWidth="1"/>
    <col min="4" max="5" width="19.42578125" style="5" customWidth="1"/>
    <col min="6" max="7" width="18.28515625" style="5" customWidth="1"/>
    <col min="8" max="8" width="13.42578125" style="5" customWidth="1"/>
    <col min="9" max="9" width="10.85546875" style="5" customWidth="1"/>
    <col min="10" max="10" width="11.42578125" style="5" customWidth="1"/>
    <col min="11" max="12" width="13.85546875" style="5" bestFit="1" customWidth="1"/>
    <col min="13" max="14" width="18.5703125" style="5" bestFit="1" customWidth="1"/>
    <col min="15" max="15" width="23.140625" style="5" bestFit="1" customWidth="1"/>
    <col min="16" max="16" width="2.5703125" style="5" customWidth="1"/>
    <col min="17" max="17" width="17" style="21" customWidth="1"/>
    <col min="18" max="16384" width="12.5703125" style="5"/>
  </cols>
  <sheetData>
    <row r="1" spans="2:17" ht="6.75" customHeight="1"/>
    <row r="2" spans="2:17" s="17" customFormat="1" ht="18" customHeight="1">
      <c r="B2" s="12" t="s">
        <v>8</v>
      </c>
      <c r="C2" s="12" t="s">
        <v>25</v>
      </c>
      <c r="D2" s="12" t="s">
        <v>136</v>
      </c>
      <c r="E2" s="12" t="s">
        <v>137</v>
      </c>
      <c r="F2" s="12" t="s">
        <v>135</v>
      </c>
      <c r="G2" s="12" t="s">
        <v>140</v>
      </c>
      <c r="H2" s="12" t="s">
        <v>141</v>
      </c>
      <c r="I2" s="12" t="s">
        <v>142</v>
      </c>
      <c r="J2" s="12" t="s">
        <v>143</v>
      </c>
      <c r="K2" s="20" t="s">
        <v>144</v>
      </c>
      <c r="L2" s="20" t="s">
        <v>145</v>
      </c>
      <c r="M2" s="20" t="s">
        <v>146</v>
      </c>
      <c r="N2" s="20" t="s">
        <v>147</v>
      </c>
      <c r="O2" s="20" t="s">
        <v>148</v>
      </c>
      <c r="Q2" s="67" t="s">
        <v>589</v>
      </c>
    </row>
    <row r="3" spans="2:17" ht="18" customHeight="1">
      <c r="B3" s="6"/>
      <c r="C3" s="6"/>
      <c r="D3" s="31"/>
      <c r="E3" s="31"/>
      <c r="F3" s="31"/>
      <c r="G3" s="31"/>
      <c r="H3" s="31"/>
      <c r="I3" s="6"/>
      <c r="J3" s="6"/>
      <c r="K3" s="6"/>
      <c r="L3" s="6"/>
      <c r="M3" s="31"/>
      <c r="N3" s="6"/>
      <c r="O3" s="31"/>
      <c r="Q3" s="94"/>
    </row>
    <row r="4" spans="2:17" ht="18" customHeight="1">
      <c r="B4" s="6"/>
      <c r="C4" s="6"/>
      <c r="D4" s="31"/>
      <c r="E4" s="31"/>
      <c r="F4" s="31"/>
      <c r="G4" s="31"/>
      <c r="H4" s="31"/>
      <c r="I4" s="6"/>
      <c r="J4" s="6"/>
      <c r="K4" s="6"/>
      <c r="L4" s="6"/>
      <c r="M4" s="31"/>
      <c r="N4" s="6"/>
      <c r="O4" s="31"/>
      <c r="Q4" s="94"/>
    </row>
    <row r="5" spans="2:17" ht="18" customHeight="1">
      <c r="B5" s="6"/>
      <c r="C5" s="6"/>
      <c r="D5" s="31"/>
      <c r="E5" s="31"/>
      <c r="F5" s="31"/>
      <c r="G5" s="31"/>
      <c r="H5" s="31"/>
      <c r="I5" s="6"/>
      <c r="J5" s="6"/>
      <c r="K5" s="6"/>
      <c r="L5" s="6"/>
      <c r="M5" s="31"/>
      <c r="N5" s="6"/>
      <c r="O5" s="31"/>
      <c r="Q5" s="94"/>
    </row>
    <row r="6" spans="2:17" ht="18" customHeight="1">
      <c r="B6" s="6"/>
      <c r="C6" s="6"/>
      <c r="D6" s="31"/>
      <c r="E6" s="31"/>
      <c r="F6" s="31"/>
      <c r="G6" s="31"/>
      <c r="H6" s="31"/>
      <c r="I6" s="6"/>
      <c r="J6" s="6"/>
      <c r="K6" s="6"/>
      <c r="L6" s="6"/>
      <c r="M6" s="31"/>
      <c r="N6" s="6"/>
      <c r="O6" s="31"/>
      <c r="Q6" s="94"/>
    </row>
    <row r="7" spans="2:17" ht="18" customHeight="1">
      <c r="B7" s="6"/>
      <c r="C7" s="6"/>
      <c r="D7" s="31"/>
      <c r="E7" s="31"/>
      <c r="F7" s="31"/>
      <c r="G7" s="31"/>
      <c r="H7" s="31"/>
      <c r="I7" s="6"/>
      <c r="J7" s="6"/>
      <c r="K7" s="6"/>
      <c r="L7" s="6"/>
      <c r="M7" s="31"/>
      <c r="N7" s="6"/>
      <c r="O7" s="31"/>
      <c r="Q7" s="94"/>
    </row>
    <row r="8" spans="2:17" ht="18" customHeight="1">
      <c r="B8" s="6"/>
      <c r="C8" s="6"/>
      <c r="D8" s="31"/>
      <c r="E8" s="31"/>
      <c r="F8" s="31"/>
      <c r="G8" s="31"/>
      <c r="H8" s="31"/>
      <c r="I8" s="6"/>
      <c r="J8" s="6"/>
      <c r="K8" s="6"/>
      <c r="L8" s="6"/>
      <c r="M8" s="31"/>
      <c r="N8" s="6"/>
      <c r="O8" s="31"/>
      <c r="Q8" s="94"/>
    </row>
    <row r="9" spans="2:17" ht="18" customHeight="1">
      <c r="B9" s="6"/>
      <c r="C9" s="6"/>
      <c r="D9" s="31"/>
      <c r="E9" s="31"/>
      <c r="F9" s="31"/>
      <c r="G9" s="31"/>
      <c r="H9" s="31"/>
      <c r="I9" s="6"/>
      <c r="J9" s="6"/>
      <c r="K9" s="6"/>
      <c r="L9" s="6"/>
      <c r="M9" s="31"/>
      <c r="N9" s="6"/>
      <c r="O9" s="31"/>
      <c r="Q9" s="94"/>
    </row>
    <row r="10" spans="2:17" ht="18" customHeight="1">
      <c r="B10" s="6"/>
      <c r="C10" s="6"/>
      <c r="D10" s="31"/>
      <c r="E10" s="31"/>
      <c r="F10" s="31"/>
      <c r="G10" s="31"/>
      <c r="H10" s="31"/>
      <c r="I10" s="6"/>
      <c r="J10" s="6"/>
      <c r="K10" s="6"/>
      <c r="L10" s="6"/>
      <c r="M10" s="31"/>
      <c r="N10" s="6"/>
      <c r="O10" s="31"/>
      <c r="Q10" s="94"/>
    </row>
    <row r="11" spans="2:17" ht="18" customHeight="1">
      <c r="B11" s="6"/>
      <c r="C11" s="6"/>
      <c r="D11" s="31"/>
      <c r="E11" s="31"/>
      <c r="F11" s="31"/>
      <c r="G11" s="31"/>
      <c r="H11" s="31"/>
      <c r="I11" s="6"/>
      <c r="J11" s="6"/>
      <c r="K11" s="6"/>
      <c r="L11" s="6"/>
      <c r="M11" s="31"/>
      <c r="N11" s="6"/>
      <c r="O11" s="31"/>
      <c r="Q11" s="94"/>
    </row>
    <row r="12" spans="2:17" ht="18" customHeight="1">
      <c r="B12" s="6"/>
      <c r="C12" s="6"/>
      <c r="D12" s="31"/>
      <c r="E12" s="31"/>
      <c r="F12" s="31"/>
      <c r="G12" s="31"/>
      <c r="H12" s="31"/>
      <c r="I12" s="6"/>
      <c r="J12" s="6"/>
      <c r="K12" s="6"/>
      <c r="L12" s="6"/>
      <c r="M12" s="31"/>
      <c r="N12" s="6"/>
      <c r="O12" s="31"/>
      <c r="Q12" s="94"/>
    </row>
    <row r="13" spans="2:17" ht="18" customHeight="1">
      <c r="B13" s="6"/>
      <c r="C13" s="6"/>
      <c r="D13" s="31"/>
      <c r="E13" s="31"/>
      <c r="F13" s="31"/>
      <c r="G13" s="31"/>
      <c r="H13" s="31"/>
      <c r="I13" s="6"/>
      <c r="J13" s="6"/>
      <c r="K13" s="6"/>
      <c r="L13" s="6"/>
      <c r="M13" s="31"/>
      <c r="N13" s="6"/>
      <c r="O13" s="31"/>
      <c r="Q13" s="94"/>
    </row>
    <row r="14" spans="2:17" ht="18" customHeight="1">
      <c r="B14" s="6"/>
      <c r="C14" s="6"/>
      <c r="D14" s="31"/>
      <c r="E14" s="31"/>
      <c r="F14" s="31"/>
      <c r="G14" s="31"/>
      <c r="H14" s="31"/>
      <c r="I14" s="6"/>
      <c r="J14" s="6"/>
      <c r="K14" s="6"/>
      <c r="L14" s="6"/>
      <c r="M14" s="31"/>
      <c r="N14" s="6"/>
      <c r="O14" s="31"/>
      <c r="Q14" s="94"/>
    </row>
    <row r="15" spans="2:17" ht="18" customHeight="1">
      <c r="B15" s="6"/>
      <c r="C15" s="6"/>
      <c r="D15" s="31"/>
      <c r="E15" s="31"/>
      <c r="F15" s="31"/>
      <c r="G15" s="31"/>
      <c r="H15" s="31"/>
      <c r="I15" s="6"/>
      <c r="J15" s="6"/>
      <c r="K15" s="6"/>
      <c r="L15" s="6"/>
      <c r="M15" s="31"/>
      <c r="N15" s="6"/>
      <c r="O15" s="31"/>
      <c r="Q15" s="94"/>
    </row>
    <row r="16" spans="2:17" ht="18" customHeight="1">
      <c r="B16" s="6"/>
      <c r="C16" s="6"/>
      <c r="D16" s="31"/>
      <c r="E16" s="31"/>
      <c r="F16" s="31"/>
      <c r="G16" s="31"/>
      <c r="H16" s="31"/>
      <c r="I16" s="6"/>
      <c r="J16" s="6"/>
      <c r="K16" s="6"/>
      <c r="L16" s="6"/>
      <c r="M16" s="31"/>
      <c r="N16" s="6"/>
      <c r="O16" s="31"/>
      <c r="Q16" s="94"/>
    </row>
    <row r="17" spans="2:17" ht="18" customHeight="1">
      <c r="B17" s="6"/>
      <c r="C17" s="6"/>
      <c r="D17" s="31"/>
      <c r="E17" s="31"/>
      <c r="F17" s="31"/>
      <c r="G17" s="31"/>
      <c r="H17" s="31"/>
      <c r="I17" s="6"/>
      <c r="J17" s="6"/>
      <c r="K17" s="6"/>
      <c r="L17" s="6"/>
      <c r="M17" s="31"/>
      <c r="N17" s="6"/>
      <c r="O17" s="31"/>
      <c r="Q17" s="94"/>
    </row>
    <row r="18" spans="2:17" ht="18" customHeight="1">
      <c r="B18" s="6"/>
      <c r="C18" s="6"/>
      <c r="D18" s="31"/>
      <c r="E18" s="31"/>
      <c r="F18" s="31"/>
      <c r="G18" s="31"/>
      <c r="H18" s="31"/>
      <c r="I18" s="6"/>
      <c r="J18" s="6"/>
      <c r="K18" s="6"/>
      <c r="L18" s="6"/>
      <c r="M18" s="31"/>
      <c r="N18" s="6"/>
      <c r="O18" s="31"/>
      <c r="Q18" s="94"/>
    </row>
    <row r="19" spans="2:17" ht="18" customHeight="1">
      <c r="B19" s="6"/>
      <c r="C19" s="6"/>
      <c r="D19" s="31"/>
      <c r="E19" s="31"/>
      <c r="F19" s="31"/>
      <c r="G19" s="31"/>
      <c r="H19" s="31"/>
      <c r="I19" s="6"/>
      <c r="J19" s="6"/>
      <c r="K19" s="6"/>
      <c r="L19" s="6"/>
      <c r="M19" s="31"/>
      <c r="N19" s="6"/>
      <c r="O19" s="31"/>
      <c r="Q19" s="94"/>
    </row>
    <row r="20" spans="2:17" ht="18" customHeight="1">
      <c r="B20" s="6"/>
      <c r="C20" s="6"/>
      <c r="D20" s="31"/>
      <c r="E20" s="31"/>
      <c r="F20" s="31"/>
      <c r="G20" s="31"/>
      <c r="H20" s="31"/>
      <c r="I20" s="6"/>
      <c r="J20" s="6"/>
      <c r="K20" s="6"/>
      <c r="L20" s="6"/>
      <c r="M20" s="31"/>
      <c r="N20" s="6"/>
      <c r="O20" s="31"/>
      <c r="Q20" s="94"/>
    </row>
    <row r="21" spans="2:17" ht="18" customHeight="1">
      <c r="B21" s="6"/>
      <c r="C21" s="6"/>
      <c r="D21" s="31"/>
      <c r="E21" s="31"/>
      <c r="F21" s="31"/>
      <c r="G21" s="31"/>
      <c r="H21" s="31"/>
      <c r="I21" s="6"/>
      <c r="J21" s="6"/>
      <c r="K21" s="6"/>
      <c r="L21" s="6"/>
      <c r="M21" s="31"/>
      <c r="N21" s="6"/>
      <c r="O21" s="31"/>
      <c r="Q21" s="94"/>
    </row>
    <row r="22" spans="2:17" ht="18" customHeight="1">
      <c r="B22" s="6"/>
      <c r="C22" s="6"/>
      <c r="D22" s="31"/>
      <c r="E22" s="31"/>
      <c r="F22" s="31"/>
      <c r="G22" s="31"/>
      <c r="H22" s="31"/>
      <c r="I22" s="6"/>
      <c r="J22" s="6"/>
      <c r="K22" s="6"/>
      <c r="L22" s="6"/>
      <c r="M22" s="31"/>
      <c r="N22" s="6"/>
      <c r="O22" s="31"/>
      <c r="Q22" s="94"/>
    </row>
    <row r="23" spans="2:17" ht="18" customHeight="1">
      <c r="B23" s="6"/>
      <c r="C23" s="6"/>
      <c r="D23" s="31"/>
      <c r="E23" s="31"/>
      <c r="F23" s="31"/>
      <c r="G23" s="31"/>
      <c r="H23" s="31"/>
      <c r="I23" s="6"/>
      <c r="J23" s="6"/>
      <c r="K23" s="6"/>
      <c r="L23" s="6"/>
      <c r="M23" s="31"/>
      <c r="N23" s="6"/>
      <c r="O23" s="31"/>
      <c r="Q23" s="94"/>
    </row>
    <row r="24" spans="2:17" ht="18" customHeight="1">
      <c r="B24" s="6"/>
      <c r="C24" s="6"/>
      <c r="D24" s="31"/>
      <c r="E24" s="31"/>
      <c r="F24" s="31"/>
      <c r="G24" s="31"/>
      <c r="H24" s="31"/>
      <c r="I24" s="6"/>
      <c r="J24" s="6"/>
      <c r="K24" s="6"/>
      <c r="L24" s="6"/>
      <c r="M24" s="31"/>
      <c r="N24" s="6"/>
      <c r="O24" s="31"/>
      <c r="Q24" s="94"/>
    </row>
    <row r="25" spans="2:17" ht="18" customHeight="1">
      <c r="B25" s="6"/>
      <c r="C25" s="6"/>
      <c r="D25" s="31"/>
      <c r="E25" s="31"/>
      <c r="F25" s="31"/>
      <c r="G25" s="31"/>
      <c r="H25" s="31"/>
      <c r="I25" s="6"/>
      <c r="J25" s="6"/>
      <c r="K25" s="6"/>
      <c r="L25" s="6"/>
      <c r="M25" s="31"/>
      <c r="N25" s="6"/>
      <c r="O25" s="31"/>
      <c r="Q25" s="94"/>
    </row>
    <row r="26" spans="2:17" ht="18" customHeight="1">
      <c r="B26" s="6"/>
      <c r="C26" s="6"/>
      <c r="D26" s="31"/>
      <c r="E26" s="31"/>
      <c r="F26" s="31"/>
      <c r="G26" s="31"/>
      <c r="H26" s="31"/>
      <c r="I26" s="6"/>
      <c r="J26" s="6"/>
      <c r="K26" s="6"/>
      <c r="L26" s="6"/>
      <c r="M26" s="31"/>
      <c r="N26" s="6"/>
      <c r="O26" s="31"/>
      <c r="Q26" s="94"/>
    </row>
    <row r="27" spans="2:17" ht="18" customHeight="1">
      <c r="B27" s="6"/>
      <c r="C27" s="6"/>
      <c r="D27" s="31"/>
      <c r="E27" s="31"/>
      <c r="F27" s="31"/>
      <c r="G27" s="31"/>
      <c r="H27" s="31"/>
      <c r="I27" s="6"/>
      <c r="J27" s="6"/>
      <c r="K27" s="6"/>
      <c r="L27" s="6"/>
      <c r="M27" s="31"/>
      <c r="N27" s="6"/>
      <c r="O27" s="31"/>
      <c r="Q27" s="94"/>
    </row>
    <row r="28" spans="2:17" ht="18" customHeight="1">
      <c r="B28" s="6"/>
      <c r="C28" s="6"/>
      <c r="D28" s="31"/>
      <c r="E28" s="31"/>
      <c r="F28" s="31"/>
      <c r="G28" s="31"/>
      <c r="H28" s="31"/>
      <c r="I28" s="6"/>
      <c r="J28" s="6"/>
      <c r="K28" s="6"/>
      <c r="L28" s="6"/>
      <c r="M28" s="31"/>
      <c r="N28" s="6"/>
      <c r="O28" s="31"/>
      <c r="Q28" s="94"/>
    </row>
    <row r="29" spans="2:17" ht="18" customHeight="1">
      <c r="B29" s="6"/>
      <c r="C29" s="6"/>
      <c r="D29" s="31"/>
      <c r="E29" s="31"/>
      <c r="F29" s="31"/>
      <c r="G29" s="31"/>
      <c r="H29" s="31"/>
      <c r="I29" s="6"/>
      <c r="J29" s="6"/>
      <c r="K29" s="6"/>
      <c r="L29" s="6"/>
      <c r="M29" s="31"/>
      <c r="N29" s="6"/>
      <c r="O29" s="31"/>
      <c r="Q29" s="94"/>
    </row>
    <row r="30" spans="2:17" ht="18" customHeight="1">
      <c r="B30" s="6"/>
      <c r="C30" s="6"/>
      <c r="D30" s="31"/>
      <c r="E30" s="31"/>
      <c r="F30" s="31"/>
      <c r="G30" s="31"/>
      <c r="H30" s="31"/>
      <c r="I30" s="6"/>
      <c r="J30" s="6"/>
      <c r="K30" s="6"/>
      <c r="L30" s="6"/>
      <c r="M30" s="31"/>
      <c r="N30" s="6"/>
      <c r="O30" s="31"/>
      <c r="Q30" s="94"/>
    </row>
    <row r="31" spans="2:17" ht="18" customHeight="1">
      <c r="B31" s="6"/>
      <c r="C31" s="6"/>
      <c r="D31" s="31"/>
      <c r="E31" s="31"/>
      <c r="F31" s="31"/>
      <c r="G31" s="31"/>
      <c r="H31" s="31"/>
      <c r="I31" s="6"/>
      <c r="J31" s="6"/>
      <c r="K31" s="6"/>
      <c r="L31" s="6"/>
      <c r="M31" s="31"/>
      <c r="N31" s="6"/>
      <c r="O31" s="31"/>
      <c r="Q31" s="94"/>
    </row>
    <row r="32" spans="2:17" ht="18" customHeight="1">
      <c r="B32" s="6"/>
      <c r="C32" s="6"/>
      <c r="D32" s="31"/>
      <c r="E32" s="31"/>
      <c r="F32" s="31"/>
      <c r="G32" s="31"/>
      <c r="H32" s="31"/>
      <c r="I32" s="6"/>
      <c r="J32" s="6"/>
      <c r="K32" s="6"/>
      <c r="L32" s="6"/>
      <c r="M32" s="31"/>
      <c r="N32" s="6"/>
      <c r="O32" s="31"/>
      <c r="Q32" s="94"/>
    </row>
    <row r="33" spans="2:17" ht="18" customHeight="1">
      <c r="B33" s="6"/>
      <c r="C33" s="6"/>
      <c r="D33" s="31"/>
      <c r="E33" s="31"/>
      <c r="F33" s="31"/>
      <c r="G33" s="31"/>
      <c r="H33" s="31"/>
      <c r="I33" s="6"/>
      <c r="J33" s="6"/>
      <c r="K33" s="6"/>
      <c r="L33" s="6"/>
      <c r="M33" s="31"/>
      <c r="N33" s="6"/>
      <c r="O33" s="31"/>
      <c r="Q33" s="94"/>
    </row>
    <row r="34" spans="2:17" ht="18" customHeight="1">
      <c r="B34" s="6"/>
      <c r="C34" s="6"/>
      <c r="D34" s="31"/>
      <c r="E34" s="31"/>
      <c r="F34" s="31"/>
      <c r="G34" s="31"/>
      <c r="H34" s="31"/>
      <c r="I34" s="6"/>
      <c r="J34" s="6"/>
      <c r="K34" s="6"/>
      <c r="L34" s="6"/>
      <c r="M34" s="31"/>
      <c r="N34" s="6"/>
      <c r="O34" s="31"/>
      <c r="Q34" s="94"/>
    </row>
    <row r="35" spans="2:17" ht="18" customHeight="1">
      <c r="B35" s="6"/>
      <c r="C35" s="6"/>
      <c r="D35" s="31"/>
      <c r="E35" s="31"/>
      <c r="F35" s="31"/>
      <c r="G35" s="31"/>
      <c r="H35" s="31"/>
      <c r="I35" s="6"/>
      <c r="J35" s="6"/>
      <c r="K35" s="6"/>
      <c r="L35" s="6"/>
      <c r="M35" s="31"/>
      <c r="N35" s="6"/>
      <c r="O35" s="31"/>
      <c r="Q35" s="94"/>
    </row>
    <row r="36" spans="2:17" ht="18" customHeight="1">
      <c r="B36" s="6"/>
      <c r="C36" s="6"/>
      <c r="D36" s="31"/>
      <c r="E36" s="31"/>
      <c r="F36" s="31"/>
      <c r="G36" s="31"/>
      <c r="H36" s="31"/>
      <c r="I36" s="6"/>
      <c r="J36" s="6"/>
      <c r="K36" s="6"/>
      <c r="L36" s="6"/>
      <c r="M36" s="31"/>
      <c r="N36" s="6"/>
      <c r="O36" s="31"/>
      <c r="Q36" s="94"/>
    </row>
    <row r="37" spans="2:17" ht="18" customHeight="1">
      <c r="B37" s="6"/>
      <c r="C37" s="6"/>
      <c r="D37" s="31"/>
      <c r="E37" s="31"/>
      <c r="F37" s="31"/>
      <c r="G37" s="31"/>
      <c r="H37" s="31"/>
      <c r="I37" s="6"/>
      <c r="J37" s="6"/>
      <c r="K37" s="6"/>
      <c r="L37" s="6"/>
      <c r="M37" s="31"/>
      <c r="N37" s="6"/>
      <c r="O37" s="31"/>
      <c r="Q37" s="94"/>
    </row>
    <row r="38" spans="2:17" ht="18" customHeight="1">
      <c r="B38" s="6"/>
      <c r="C38" s="6"/>
      <c r="D38" s="31"/>
      <c r="E38" s="31"/>
      <c r="F38" s="31"/>
      <c r="G38" s="31"/>
      <c r="H38" s="31"/>
      <c r="I38" s="6"/>
      <c r="J38" s="6"/>
      <c r="K38" s="6"/>
      <c r="L38" s="6"/>
      <c r="M38" s="31"/>
      <c r="N38" s="6"/>
      <c r="O38" s="31"/>
      <c r="Q38" s="94"/>
    </row>
    <row r="39" spans="2:17" ht="18" customHeight="1">
      <c r="B39" s="6"/>
      <c r="C39" s="6"/>
      <c r="D39" s="31"/>
      <c r="E39" s="31"/>
      <c r="F39" s="31"/>
      <c r="G39" s="31"/>
      <c r="H39" s="31"/>
      <c r="I39" s="6"/>
      <c r="J39" s="6"/>
      <c r="K39" s="6"/>
      <c r="L39" s="6"/>
      <c r="M39" s="31"/>
      <c r="N39" s="6"/>
      <c r="O39" s="31"/>
      <c r="Q39" s="94"/>
    </row>
    <row r="40" spans="2:17" ht="18" customHeight="1">
      <c r="B40" s="6"/>
      <c r="C40" s="6"/>
      <c r="D40" s="31"/>
      <c r="E40" s="31"/>
      <c r="F40" s="31"/>
      <c r="G40" s="31"/>
      <c r="H40" s="31"/>
      <c r="I40" s="6"/>
      <c r="J40" s="6"/>
      <c r="K40" s="6"/>
      <c r="L40" s="6"/>
      <c r="M40" s="31"/>
      <c r="N40" s="6"/>
      <c r="O40" s="31"/>
      <c r="Q40" s="94"/>
    </row>
    <row r="41" spans="2:17" ht="18" customHeight="1">
      <c r="B41" s="6"/>
      <c r="C41" s="6"/>
      <c r="D41" s="31"/>
      <c r="E41" s="31"/>
      <c r="F41" s="31"/>
      <c r="G41" s="31"/>
      <c r="H41" s="31"/>
      <c r="I41" s="6"/>
      <c r="J41" s="6"/>
      <c r="K41" s="6"/>
      <c r="L41" s="6"/>
      <c r="M41" s="31"/>
      <c r="N41" s="6"/>
      <c r="O41" s="31"/>
      <c r="Q41" s="94"/>
    </row>
    <row r="42" spans="2:17" ht="18" customHeight="1">
      <c r="B42" s="6"/>
      <c r="C42" s="6"/>
      <c r="D42" s="31"/>
      <c r="E42" s="31"/>
      <c r="F42" s="31"/>
      <c r="G42" s="31"/>
      <c r="H42" s="31"/>
      <c r="I42" s="6"/>
      <c r="J42" s="6"/>
      <c r="K42" s="6"/>
      <c r="L42" s="6"/>
      <c r="M42" s="31"/>
      <c r="N42" s="6"/>
      <c r="O42" s="31"/>
      <c r="Q42" s="94"/>
    </row>
    <row r="43" spans="2:17" ht="18" customHeight="1">
      <c r="B43" s="6"/>
      <c r="C43" s="6"/>
      <c r="D43" s="31"/>
      <c r="E43" s="31"/>
      <c r="F43" s="31"/>
      <c r="G43" s="31"/>
      <c r="H43" s="31"/>
      <c r="I43" s="6"/>
      <c r="J43" s="6"/>
      <c r="K43" s="6"/>
      <c r="L43" s="6"/>
      <c r="M43" s="31"/>
      <c r="N43" s="6"/>
      <c r="O43" s="31"/>
      <c r="Q43" s="94"/>
    </row>
    <row r="44" spans="2:17" ht="18" customHeight="1">
      <c r="B44" s="6"/>
      <c r="C44" s="6"/>
      <c r="D44" s="31"/>
      <c r="E44" s="31"/>
      <c r="F44" s="31"/>
      <c r="G44" s="31"/>
      <c r="H44" s="31"/>
      <c r="I44" s="6"/>
      <c r="J44" s="6"/>
      <c r="K44" s="6"/>
      <c r="L44" s="6"/>
      <c r="M44" s="31"/>
      <c r="N44" s="6"/>
      <c r="O44" s="31"/>
      <c r="Q44" s="94"/>
    </row>
    <row r="45" spans="2:17" ht="18" customHeight="1">
      <c r="B45" s="6"/>
      <c r="C45" s="6"/>
      <c r="D45" s="31"/>
      <c r="E45" s="31"/>
      <c r="F45" s="31"/>
      <c r="G45" s="31"/>
      <c r="H45" s="31"/>
      <c r="I45" s="6"/>
      <c r="J45" s="6"/>
      <c r="K45" s="6"/>
      <c r="L45" s="6"/>
      <c r="M45" s="31"/>
      <c r="N45" s="6"/>
      <c r="O45" s="31"/>
      <c r="Q45" s="94"/>
    </row>
    <row r="46" spans="2:17" ht="18" customHeight="1">
      <c r="B46" s="6"/>
      <c r="C46" s="6"/>
      <c r="D46" s="31"/>
      <c r="E46" s="31"/>
      <c r="F46" s="31"/>
      <c r="G46" s="31"/>
      <c r="H46" s="31"/>
      <c r="I46" s="6"/>
      <c r="J46" s="6"/>
      <c r="K46" s="6"/>
      <c r="L46" s="6"/>
      <c r="M46" s="31"/>
      <c r="N46" s="6"/>
      <c r="O46" s="31"/>
      <c r="Q46" s="94"/>
    </row>
    <row r="47" spans="2:17" ht="18" customHeight="1">
      <c r="B47" s="6"/>
      <c r="C47" s="6"/>
      <c r="D47" s="31"/>
      <c r="E47" s="31"/>
      <c r="F47" s="31"/>
      <c r="G47" s="31"/>
      <c r="H47" s="31"/>
      <c r="I47" s="6"/>
      <c r="J47" s="6"/>
      <c r="K47" s="6"/>
      <c r="L47" s="6"/>
      <c r="M47" s="31"/>
      <c r="N47" s="6"/>
      <c r="O47" s="31"/>
      <c r="Q47" s="94"/>
    </row>
    <row r="48" spans="2:17" ht="18" customHeight="1">
      <c r="B48" s="6"/>
      <c r="C48" s="6"/>
      <c r="D48" s="31"/>
      <c r="E48" s="31"/>
      <c r="F48" s="31"/>
      <c r="G48" s="31"/>
      <c r="H48" s="31"/>
      <c r="I48" s="6"/>
      <c r="J48" s="6"/>
      <c r="K48" s="6"/>
      <c r="L48" s="6"/>
      <c r="M48" s="31"/>
      <c r="N48" s="6"/>
      <c r="O48" s="31"/>
      <c r="Q48" s="94"/>
    </row>
    <row r="49" spans="2:17" ht="18" customHeight="1">
      <c r="B49" s="6"/>
      <c r="C49" s="6"/>
      <c r="D49" s="31"/>
      <c r="E49" s="31"/>
      <c r="F49" s="31"/>
      <c r="G49" s="31"/>
      <c r="H49" s="31"/>
      <c r="I49" s="6"/>
      <c r="J49" s="6"/>
      <c r="K49" s="6"/>
      <c r="L49" s="6"/>
      <c r="M49" s="31"/>
      <c r="N49" s="6"/>
      <c r="O49" s="31"/>
      <c r="Q49" s="94"/>
    </row>
    <row r="50" spans="2:17" ht="18" customHeight="1">
      <c r="B50" s="6"/>
      <c r="C50" s="6"/>
      <c r="D50" s="31"/>
      <c r="E50" s="31"/>
      <c r="F50" s="31"/>
      <c r="G50" s="31"/>
      <c r="H50" s="31"/>
      <c r="I50" s="6"/>
      <c r="J50" s="6"/>
      <c r="K50" s="6"/>
      <c r="L50" s="6"/>
      <c r="M50" s="31"/>
      <c r="N50" s="6"/>
      <c r="O50" s="31"/>
      <c r="Q50" s="94"/>
    </row>
    <row r="51" spans="2:17" ht="18" customHeight="1">
      <c r="B51" s="6"/>
      <c r="C51" s="6"/>
      <c r="D51" s="31"/>
      <c r="E51" s="31"/>
      <c r="F51" s="31"/>
      <c r="G51" s="31"/>
      <c r="H51" s="31"/>
      <c r="I51" s="6"/>
      <c r="J51" s="6"/>
      <c r="K51" s="6"/>
      <c r="L51" s="6"/>
      <c r="M51" s="31"/>
      <c r="N51" s="6"/>
      <c r="O51" s="31"/>
      <c r="Q51" s="94"/>
    </row>
    <row r="52" spans="2:17" ht="18" customHeight="1">
      <c r="B52" s="6"/>
      <c r="C52" s="6"/>
      <c r="D52" s="31"/>
      <c r="E52" s="31"/>
      <c r="F52" s="31"/>
      <c r="G52" s="31"/>
      <c r="H52" s="31"/>
      <c r="I52" s="6"/>
      <c r="J52" s="6"/>
      <c r="K52" s="6"/>
      <c r="L52" s="6"/>
      <c r="M52" s="31"/>
      <c r="N52" s="6"/>
      <c r="O52" s="31"/>
      <c r="Q52" s="94"/>
    </row>
    <row r="53" spans="2:17" ht="18" customHeight="1">
      <c r="B53" s="6"/>
      <c r="C53" s="6"/>
      <c r="D53" s="31"/>
      <c r="E53" s="31"/>
      <c r="F53" s="31"/>
      <c r="G53" s="31"/>
      <c r="H53" s="31"/>
      <c r="I53" s="6"/>
      <c r="J53" s="6"/>
      <c r="K53" s="6"/>
      <c r="L53" s="6"/>
      <c r="M53" s="31"/>
      <c r="N53" s="6"/>
      <c r="O53" s="31"/>
      <c r="Q53" s="94"/>
    </row>
    <row r="54" spans="2:17" ht="18" customHeight="1">
      <c r="B54" s="6"/>
      <c r="C54" s="6"/>
      <c r="D54" s="31"/>
      <c r="E54" s="31"/>
      <c r="F54" s="31"/>
      <c r="G54" s="31"/>
      <c r="H54" s="31"/>
      <c r="I54" s="6"/>
      <c r="J54" s="6"/>
      <c r="K54" s="6"/>
      <c r="L54" s="6"/>
      <c r="M54" s="31"/>
      <c r="N54" s="6"/>
      <c r="O54" s="31"/>
      <c r="Q54" s="94"/>
    </row>
    <row r="55" spans="2:17" ht="18" customHeight="1">
      <c r="B55" s="6"/>
      <c r="C55" s="6"/>
      <c r="D55" s="31"/>
      <c r="E55" s="31"/>
      <c r="F55" s="31"/>
      <c r="G55" s="31"/>
      <c r="H55" s="31"/>
      <c r="I55" s="6"/>
      <c r="J55" s="6"/>
      <c r="K55" s="6"/>
      <c r="L55" s="6"/>
      <c r="M55" s="31"/>
      <c r="N55" s="6"/>
      <c r="O55" s="31"/>
      <c r="Q55" s="94"/>
    </row>
    <row r="56" spans="2:17" ht="18" customHeight="1">
      <c r="B56" s="6"/>
      <c r="C56" s="6"/>
      <c r="D56" s="31"/>
      <c r="E56" s="31"/>
      <c r="F56" s="31"/>
      <c r="G56" s="31"/>
      <c r="H56" s="31"/>
      <c r="I56" s="6"/>
      <c r="J56" s="6"/>
      <c r="K56" s="6"/>
      <c r="L56" s="6"/>
      <c r="M56" s="31"/>
      <c r="N56" s="6"/>
      <c r="O56" s="31"/>
      <c r="Q56" s="94"/>
    </row>
    <row r="57" spans="2:17" ht="18" customHeight="1">
      <c r="B57" s="6"/>
      <c r="C57" s="6"/>
      <c r="D57" s="31"/>
      <c r="E57" s="31"/>
      <c r="F57" s="31"/>
      <c r="G57" s="31"/>
      <c r="H57" s="31"/>
      <c r="I57" s="6"/>
      <c r="J57" s="6"/>
      <c r="K57" s="6"/>
      <c r="L57" s="6"/>
      <c r="M57" s="31"/>
      <c r="N57" s="6"/>
      <c r="O57" s="31"/>
      <c r="Q57" s="94"/>
    </row>
    <row r="58" spans="2:17" ht="18" customHeight="1">
      <c r="B58" s="6"/>
      <c r="C58" s="6"/>
      <c r="D58" s="31"/>
      <c r="E58" s="31"/>
      <c r="F58" s="31"/>
      <c r="G58" s="31"/>
      <c r="H58" s="31"/>
      <c r="I58" s="6"/>
      <c r="J58" s="6"/>
      <c r="K58" s="6"/>
      <c r="L58" s="6"/>
      <c r="M58" s="31"/>
      <c r="N58" s="6"/>
      <c r="O58" s="31"/>
      <c r="Q58" s="94"/>
    </row>
    <row r="59" spans="2:17" ht="18" customHeight="1">
      <c r="B59" s="6"/>
      <c r="C59" s="6"/>
      <c r="D59" s="31"/>
      <c r="E59" s="31"/>
      <c r="F59" s="31"/>
      <c r="G59" s="31"/>
      <c r="H59" s="31"/>
      <c r="I59" s="6"/>
      <c r="J59" s="6"/>
      <c r="K59" s="6"/>
      <c r="L59" s="6"/>
      <c r="M59" s="31"/>
      <c r="N59" s="6"/>
      <c r="O59" s="31"/>
      <c r="Q59" s="94"/>
    </row>
    <row r="60" spans="2:17" ht="18" customHeight="1">
      <c r="B60" s="6"/>
      <c r="C60" s="6"/>
      <c r="D60" s="31"/>
      <c r="E60" s="31"/>
      <c r="F60" s="31"/>
      <c r="G60" s="31"/>
      <c r="H60" s="31"/>
      <c r="I60" s="6"/>
      <c r="J60" s="6"/>
      <c r="K60" s="6"/>
      <c r="L60" s="6"/>
      <c r="M60" s="31"/>
      <c r="N60" s="6"/>
      <c r="O60" s="31"/>
      <c r="Q60" s="94"/>
    </row>
    <row r="61" spans="2:17" ht="18" customHeight="1">
      <c r="B61" s="6"/>
      <c r="C61" s="6"/>
      <c r="D61" s="31"/>
      <c r="E61" s="31"/>
      <c r="F61" s="31"/>
      <c r="G61" s="31"/>
      <c r="H61" s="31"/>
      <c r="I61" s="6"/>
      <c r="J61" s="6"/>
      <c r="K61" s="6"/>
      <c r="L61" s="6"/>
      <c r="M61" s="31"/>
      <c r="N61" s="6"/>
      <c r="O61" s="31"/>
      <c r="Q61" s="94"/>
    </row>
    <row r="62" spans="2:17" ht="18" customHeight="1">
      <c r="B62" s="6"/>
      <c r="C62" s="6"/>
      <c r="D62" s="31"/>
      <c r="E62" s="31"/>
      <c r="F62" s="31"/>
      <c r="G62" s="31"/>
      <c r="H62" s="31"/>
      <c r="I62" s="6"/>
      <c r="J62" s="6"/>
      <c r="K62" s="6"/>
      <c r="L62" s="6"/>
      <c r="M62" s="31"/>
      <c r="N62" s="6"/>
      <c r="O62" s="31"/>
      <c r="Q62" s="94"/>
    </row>
    <row r="63" spans="2:17" ht="18" customHeight="1">
      <c r="B63" s="6"/>
      <c r="C63" s="6"/>
      <c r="D63" s="31"/>
      <c r="E63" s="31"/>
      <c r="F63" s="31"/>
      <c r="G63" s="31"/>
      <c r="H63" s="31"/>
      <c r="I63" s="6"/>
      <c r="J63" s="6"/>
      <c r="K63" s="6"/>
      <c r="L63" s="6"/>
      <c r="M63" s="31"/>
      <c r="N63" s="6"/>
      <c r="O63" s="31"/>
      <c r="Q63" s="94"/>
    </row>
    <row r="64" spans="2:17" ht="18" customHeight="1">
      <c r="B64" s="6"/>
      <c r="C64" s="6"/>
      <c r="D64" s="31"/>
      <c r="E64" s="31"/>
      <c r="F64" s="31"/>
      <c r="G64" s="31"/>
      <c r="H64" s="31"/>
      <c r="I64" s="6"/>
      <c r="J64" s="6"/>
      <c r="K64" s="6"/>
      <c r="L64" s="6"/>
      <c r="M64" s="31"/>
      <c r="N64" s="6"/>
      <c r="O64" s="31"/>
      <c r="Q64" s="94"/>
    </row>
    <row r="65" spans="2:17" ht="18" customHeight="1">
      <c r="B65" s="6"/>
      <c r="C65" s="6"/>
      <c r="D65" s="31"/>
      <c r="E65" s="31"/>
      <c r="F65" s="31"/>
      <c r="G65" s="31"/>
      <c r="H65" s="31"/>
      <c r="I65" s="6"/>
      <c r="J65" s="6"/>
      <c r="K65" s="6"/>
      <c r="L65" s="6"/>
      <c r="M65" s="31"/>
      <c r="N65" s="6"/>
      <c r="O65" s="31"/>
      <c r="Q65" s="94"/>
    </row>
    <row r="66" spans="2:17" ht="18" customHeight="1">
      <c r="B66" s="6"/>
      <c r="C66" s="6"/>
      <c r="D66" s="31"/>
      <c r="E66" s="31"/>
      <c r="F66" s="31"/>
      <c r="G66" s="31"/>
      <c r="H66" s="31"/>
      <c r="I66" s="6"/>
      <c r="J66" s="6"/>
      <c r="K66" s="6"/>
      <c r="L66" s="6"/>
      <c r="M66" s="31"/>
      <c r="N66" s="6"/>
      <c r="O66" s="31"/>
      <c r="Q66" s="94"/>
    </row>
    <row r="67" spans="2:17" ht="18" customHeight="1">
      <c r="B67" s="6"/>
      <c r="C67" s="6"/>
      <c r="D67" s="31"/>
      <c r="E67" s="31"/>
      <c r="F67" s="31"/>
      <c r="G67" s="31"/>
      <c r="H67" s="31"/>
      <c r="I67" s="6"/>
      <c r="J67" s="6"/>
      <c r="K67" s="6"/>
      <c r="L67" s="6"/>
      <c r="M67" s="31"/>
      <c r="N67" s="6"/>
      <c r="O67" s="31"/>
      <c r="Q67" s="94"/>
    </row>
    <row r="68" spans="2:17" ht="18" customHeight="1">
      <c r="B68" s="6"/>
      <c r="C68" s="6"/>
      <c r="D68" s="31"/>
      <c r="E68" s="31"/>
      <c r="F68" s="31"/>
      <c r="G68" s="31"/>
      <c r="H68" s="31"/>
      <c r="I68" s="6"/>
      <c r="J68" s="6"/>
      <c r="K68" s="6"/>
      <c r="L68" s="6"/>
      <c r="M68" s="31"/>
      <c r="N68" s="6"/>
      <c r="O68" s="31"/>
      <c r="Q68" s="94"/>
    </row>
    <row r="69" spans="2:17" ht="18" customHeight="1">
      <c r="B69" s="6"/>
      <c r="C69" s="6"/>
      <c r="D69" s="31"/>
      <c r="E69" s="31"/>
      <c r="F69" s="31"/>
      <c r="G69" s="31"/>
      <c r="H69" s="31"/>
      <c r="I69" s="6"/>
      <c r="J69" s="6"/>
      <c r="K69" s="6"/>
      <c r="L69" s="6"/>
      <c r="M69" s="31"/>
      <c r="N69" s="6"/>
      <c r="O69" s="31"/>
      <c r="Q69" s="94"/>
    </row>
    <row r="70" spans="2:17" ht="18" customHeight="1">
      <c r="B70" s="6"/>
      <c r="C70" s="6"/>
      <c r="D70" s="31"/>
      <c r="E70" s="31"/>
      <c r="F70" s="31"/>
      <c r="G70" s="31"/>
      <c r="H70" s="31"/>
      <c r="I70" s="6"/>
      <c r="J70" s="6"/>
      <c r="K70" s="6"/>
      <c r="L70" s="6"/>
      <c r="M70" s="31"/>
      <c r="N70" s="6"/>
      <c r="O70" s="31"/>
      <c r="Q70" s="94"/>
    </row>
    <row r="71" spans="2:17" ht="18" customHeight="1">
      <c r="B71" s="6"/>
      <c r="C71" s="6"/>
      <c r="D71" s="31"/>
      <c r="E71" s="31"/>
      <c r="F71" s="31"/>
      <c r="G71" s="31"/>
      <c r="H71" s="31"/>
      <c r="I71" s="6"/>
      <c r="J71" s="6"/>
      <c r="K71" s="6"/>
      <c r="L71" s="6"/>
      <c r="M71" s="31"/>
      <c r="N71" s="6"/>
      <c r="O71" s="31"/>
      <c r="Q71" s="94"/>
    </row>
    <row r="72" spans="2:17" ht="18" customHeight="1">
      <c r="B72" s="6"/>
      <c r="C72" s="6"/>
      <c r="D72" s="31"/>
      <c r="E72" s="31"/>
      <c r="F72" s="31"/>
      <c r="G72" s="31"/>
      <c r="H72" s="31"/>
      <c r="I72" s="6"/>
      <c r="J72" s="6"/>
      <c r="K72" s="6"/>
      <c r="L72" s="6"/>
      <c r="M72" s="31"/>
      <c r="N72" s="6"/>
      <c r="O72" s="31"/>
      <c r="Q72" s="94"/>
    </row>
    <row r="73" spans="2:17" ht="18" customHeight="1">
      <c r="B73" s="6"/>
      <c r="C73" s="6"/>
      <c r="D73" s="31"/>
      <c r="E73" s="31"/>
      <c r="F73" s="31"/>
      <c r="G73" s="31"/>
      <c r="H73" s="31"/>
      <c r="I73" s="6"/>
      <c r="J73" s="6"/>
      <c r="K73" s="6"/>
      <c r="L73" s="6"/>
      <c r="M73" s="31"/>
      <c r="N73" s="6"/>
      <c r="O73" s="31"/>
      <c r="Q73" s="94"/>
    </row>
    <row r="74" spans="2:17" ht="18" customHeight="1">
      <c r="B74" s="6"/>
      <c r="C74" s="6"/>
      <c r="D74" s="31"/>
      <c r="E74" s="31"/>
      <c r="F74" s="31"/>
      <c r="G74" s="31"/>
      <c r="H74" s="31"/>
      <c r="I74" s="6"/>
      <c r="J74" s="6"/>
      <c r="K74" s="6"/>
      <c r="L74" s="6"/>
      <c r="M74" s="31"/>
      <c r="N74" s="6"/>
      <c r="O74" s="31"/>
      <c r="Q74" s="94"/>
    </row>
    <row r="75" spans="2:17" ht="18" customHeight="1">
      <c r="B75" s="6"/>
      <c r="C75" s="6"/>
      <c r="D75" s="31"/>
      <c r="E75" s="31"/>
      <c r="F75" s="31"/>
      <c r="G75" s="31"/>
      <c r="H75" s="31"/>
      <c r="I75" s="6"/>
      <c r="J75" s="6"/>
      <c r="K75" s="6"/>
      <c r="L75" s="6"/>
      <c r="M75" s="31"/>
      <c r="N75" s="6"/>
      <c r="O75" s="31"/>
      <c r="Q75" s="94"/>
    </row>
    <row r="76" spans="2:17" ht="18" customHeight="1">
      <c r="B76" s="6"/>
      <c r="C76" s="6"/>
      <c r="D76" s="31"/>
      <c r="E76" s="31"/>
      <c r="F76" s="31"/>
      <c r="G76" s="31"/>
      <c r="H76" s="31"/>
      <c r="I76" s="6"/>
      <c r="J76" s="6"/>
      <c r="K76" s="6"/>
      <c r="L76" s="6"/>
      <c r="M76" s="31"/>
      <c r="N76" s="6"/>
      <c r="O76" s="31"/>
      <c r="Q76" s="94"/>
    </row>
    <row r="77" spans="2:17" ht="18" customHeight="1">
      <c r="B77" s="6"/>
      <c r="C77" s="6"/>
      <c r="D77" s="31"/>
      <c r="E77" s="31"/>
      <c r="F77" s="31"/>
      <c r="G77" s="31"/>
      <c r="H77" s="31"/>
      <c r="I77" s="6"/>
      <c r="J77" s="6"/>
      <c r="K77" s="6"/>
      <c r="L77" s="6"/>
      <c r="M77" s="31"/>
      <c r="N77" s="6"/>
      <c r="O77" s="31"/>
      <c r="Q77" s="94"/>
    </row>
    <row r="78" spans="2:17" ht="18" customHeight="1">
      <c r="B78" s="6"/>
      <c r="C78" s="6"/>
      <c r="D78" s="31"/>
      <c r="E78" s="31"/>
      <c r="F78" s="31"/>
      <c r="G78" s="31"/>
      <c r="H78" s="31"/>
      <c r="I78" s="6"/>
      <c r="J78" s="6"/>
      <c r="K78" s="6"/>
      <c r="L78" s="6"/>
      <c r="M78" s="31"/>
      <c r="N78" s="6"/>
      <c r="O78" s="31"/>
      <c r="Q78" s="94"/>
    </row>
    <row r="79" spans="2:17" ht="18" customHeight="1">
      <c r="B79" s="6"/>
      <c r="C79" s="6"/>
      <c r="D79" s="31"/>
      <c r="E79" s="31"/>
      <c r="F79" s="31"/>
      <c r="G79" s="31"/>
      <c r="H79" s="31"/>
      <c r="I79" s="6"/>
      <c r="J79" s="6"/>
      <c r="K79" s="6"/>
      <c r="L79" s="6"/>
      <c r="M79" s="31"/>
      <c r="N79" s="6"/>
      <c r="O79" s="31"/>
      <c r="Q79" s="94"/>
    </row>
    <row r="80" spans="2:17" ht="18" customHeight="1">
      <c r="B80" s="6"/>
      <c r="C80" s="6"/>
      <c r="D80" s="31"/>
      <c r="E80" s="31"/>
      <c r="F80" s="31"/>
      <c r="G80" s="31"/>
      <c r="H80" s="31"/>
      <c r="I80" s="6"/>
      <c r="J80" s="6"/>
      <c r="K80" s="6"/>
      <c r="L80" s="6"/>
      <c r="M80" s="31"/>
      <c r="N80" s="6"/>
      <c r="O80" s="31"/>
      <c r="Q80" s="94"/>
    </row>
    <row r="81" spans="2:17" ht="18" customHeight="1">
      <c r="B81" s="6"/>
      <c r="C81" s="6"/>
      <c r="D81" s="31"/>
      <c r="E81" s="31"/>
      <c r="F81" s="31"/>
      <c r="G81" s="31"/>
      <c r="H81" s="31"/>
      <c r="I81" s="6"/>
      <c r="J81" s="6"/>
      <c r="K81" s="6"/>
      <c r="L81" s="6"/>
      <c r="M81" s="31"/>
      <c r="N81" s="6"/>
      <c r="O81" s="31"/>
      <c r="Q81" s="94"/>
    </row>
    <row r="82" spans="2:17" ht="18" customHeight="1">
      <c r="B82" s="6"/>
      <c r="C82" s="6"/>
      <c r="D82" s="31"/>
      <c r="E82" s="31"/>
      <c r="F82" s="31"/>
      <c r="G82" s="31"/>
      <c r="H82" s="31"/>
      <c r="I82" s="6"/>
      <c r="J82" s="6"/>
      <c r="K82" s="6"/>
      <c r="L82" s="6"/>
      <c r="M82" s="31"/>
      <c r="N82" s="6"/>
      <c r="O82" s="31"/>
      <c r="Q82" s="94"/>
    </row>
    <row r="83" spans="2:17" ht="18" customHeight="1">
      <c r="B83" s="6"/>
      <c r="C83" s="6"/>
      <c r="D83" s="31"/>
      <c r="E83" s="31"/>
      <c r="F83" s="31"/>
      <c r="G83" s="31"/>
      <c r="H83" s="31"/>
      <c r="I83" s="6"/>
      <c r="J83" s="6"/>
      <c r="K83" s="6"/>
      <c r="L83" s="6"/>
      <c r="M83" s="31"/>
      <c r="N83" s="6"/>
      <c r="O83" s="31"/>
      <c r="Q83" s="94"/>
    </row>
    <row r="84" spans="2:17" ht="18" customHeight="1">
      <c r="B84" s="6"/>
      <c r="C84" s="6"/>
      <c r="D84" s="31"/>
      <c r="E84" s="31"/>
      <c r="F84" s="31"/>
      <c r="G84" s="31"/>
      <c r="H84" s="31"/>
      <c r="I84" s="6"/>
      <c r="J84" s="6"/>
      <c r="K84" s="6"/>
      <c r="L84" s="6"/>
      <c r="M84" s="31"/>
      <c r="N84" s="6"/>
      <c r="O84" s="31"/>
      <c r="Q84" s="94"/>
    </row>
    <row r="85" spans="2:17" ht="18" customHeight="1">
      <c r="B85" s="6"/>
      <c r="C85" s="6"/>
      <c r="D85" s="31"/>
      <c r="E85" s="31"/>
      <c r="F85" s="31"/>
      <c r="G85" s="31"/>
      <c r="H85" s="31"/>
      <c r="I85" s="6"/>
      <c r="J85" s="6"/>
      <c r="K85" s="6"/>
      <c r="L85" s="6"/>
      <c r="M85" s="31"/>
      <c r="N85" s="6"/>
      <c r="O85" s="31"/>
      <c r="Q85" s="94"/>
    </row>
    <row r="86" spans="2:17" ht="18" customHeight="1">
      <c r="B86" s="6"/>
      <c r="C86" s="6"/>
      <c r="D86" s="31"/>
      <c r="E86" s="31"/>
      <c r="F86" s="31"/>
      <c r="G86" s="31"/>
      <c r="H86" s="31"/>
      <c r="I86" s="6"/>
      <c r="J86" s="6"/>
      <c r="K86" s="6"/>
      <c r="L86" s="6"/>
      <c r="M86" s="31"/>
      <c r="N86" s="6"/>
      <c r="O86" s="31"/>
      <c r="Q86" s="94"/>
    </row>
    <row r="87" spans="2:17" ht="18" customHeight="1">
      <c r="B87" s="6"/>
      <c r="C87" s="6"/>
      <c r="D87" s="31"/>
      <c r="E87" s="31"/>
      <c r="F87" s="31"/>
      <c r="G87" s="31"/>
      <c r="H87" s="31"/>
      <c r="I87" s="6"/>
      <c r="J87" s="6"/>
      <c r="K87" s="6"/>
      <c r="L87" s="6"/>
      <c r="M87" s="31"/>
      <c r="N87" s="6"/>
      <c r="O87" s="31"/>
      <c r="Q87" s="94"/>
    </row>
    <row r="88" spans="2:17" ht="18" customHeight="1">
      <c r="B88" s="6"/>
      <c r="C88" s="6"/>
      <c r="D88" s="31"/>
      <c r="E88" s="31"/>
      <c r="F88" s="31"/>
      <c r="G88" s="31"/>
      <c r="H88" s="31"/>
      <c r="I88" s="6"/>
      <c r="J88" s="6"/>
      <c r="K88" s="6"/>
      <c r="L88" s="6"/>
      <c r="M88" s="31"/>
      <c r="N88" s="6"/>
      <c r="O88" s="31"/>
      <c r="Q88" s="94"/>
    </row>
    <row r="89" spans="2:17" ht="18" customHeight="1">
      <c r="B89" s="6"/>
      <c r="C89" s="6"/>
      <c r="D89" s="31"/>
      <c r="E89" s="31"/>
      <c r="F89" s="31"/>
      <c r="G89" s="31"/>
      <c r="H89" s="31"/>
      <c r="I89" s="6"/>
      <c r="J89" s="6"/>
      <c r="K89" s="6"/>
      <c r="L89" s="6"/>
      <c r="M89" s="31"/>
      <c r="N89" s="6"/>
      <c r="O89" s="31"/>
      <c r="Q89" s="94"/>
    </row>
    <row r="90" spans="2:17" ht="18" customHeight="1">
      <c r="B90" s="6"/>
      <c r="C90" s="6"/>
      <c r="D90" s="31"/>
      <c r="E90" s="31"/>
      <c r="F90" s="31"/>
      <c r="G90" s="31"/>
      <c r="H90" s="31"/>
      <c r="I90" s="6"/>
      <c r="J90" s="6"/>
      <c r="K90" s="6"/>
      <c r="L90" s="6"/>
      <c r="M90" s="31"/>
      <c r="N90" s="6"/>
      <c r="O90" s="31"/>
      <c r="Q90" s="94"/>
    </row>
    <row r="91" spans="2:17" ht="18" customHeight="1">
      <c r="B91" s="6"/>
      <c r="C91" s="6"/>
      <c r="D91" s="31"/>
      <c r="E91" s="31"/>
      <c r="F91" s="31"/>
      <c r="G91" s="31"/>
      <c r="H91" s="31"/>
      <c r="I91" s="6"/>
      <c r="J91" s="6"/>
      <c r="K91" s="6"/>
      <c r="L91" s="6"/>
      <c r="M91" s="31"/>
      <c r="N91" s="6"/>
      <c r="O91" s="31"/>
      <c r="Q91" s="94"/>
    </row>
    <row r="92" spans="2:17" ht="18" customHeight="1">
      <c r="B92" s="6"/>
      <c r="C92" s="6"/>
      <c r="D92" s="31"/>
      <c r="E92" s="31"/>
      <c r="F92" s="31"/>
      <c r="G92" s="31"/>
      <c r="H92" s="31"/>
      <c r="I92" s="6"/>
      <c r="J92" s="6"/>
      <c r="K92" s="6"/>
      <c r="L92" s="6"/>
      <c r="M92" s="31"/>
      <c r="N92" s="6"/>
      <c r="O92" s="31"/>
      <c r="Q92" s="94"/>
    </row>
    <row r="93" spans="2:17" ht="18" customHeight="1">
      <c r="B93" s="6"/>
      <c r="C93" s="6"/>
      <c r="D93" s="31"/>
      <c r="E93" s="31"/>
      <c r="F93" s="31"/>
      <c r="G93" s="31"/>
      <c r="H93" s="31"/>
      <c r="I93" s="6"/>
      <c r="J93" s="6"/>
      <c r="K93" s="6"/>
      <c r="L93" s="6"/>
      <c r="M93" s="31"/>
      <c r="N93" s="6"/>
      <c r="O93" s="31"/>
      <c r="Q93" s="94"/>
    </row>
    <row r="94" spans="2:17" ht="18" customHeight="1">
      <c r="B94" s="6"/>
      <c r="C94" s="6"/>
      <c r="D94" s="31"/>
      <c r="E94" s="31"/>
      <c r="F94" s="31"/>
      <c r="G94" s="31"/>
      <c r="H94" s="31"/>
      <c r="I94" s="6"/>
      <c r="J94" s="6"/>
      <c r="K94" s="6"/>
      <c r="L94" s="6"/>
      <c r="M94" s="31"/>
      <c r="N94" s="6"/>
      <c r="O94" s="31"/>
      <c r="Q94" s="94"/>
    </row>
    <row r="95" spans="2:17" ht="18" customHeight="1">
      <c r="B95" s="6"/>
      <c r="C95" s="6"/>
      <c r="D95" s="31"/>
      <c r="E95" s="31"/>
      <c r="F95" s="31"/>
      <c r="G95" s="31"/>
      <c r="H95" s="31"/>
      <c r="I95" s="6"/>
      <c r="J95" s="6"/>
      <c r="K95" s="6"/>
      <c r="L95" s="6"/>
      <c r="M95" s="31"/>
      <c r="N95" s="6"/>
      <c r="O95" s="31"/>
      <c r="Q95" s="94"/>
    </row>
    <row r="96" spans="2:17" ht="18" customHeight="1">
      <c r="B96" s="6"/>
      <c r="C96" s="6"/>
      <c r="D96" s="31"/>
      <c r="E96" s="31"/>
      <c r="F96" s="31"/>
      <c r="G96" s="31"/>
      <c r="H96" s="31"/>
      <c r="I96" s="6"/>
      <c r="J96" s="6"/>
      <c r="K96" s="6"/>
      <c r="L96" s="6"/>
      <c r="M96" s="31"/>
      <c r="N96" s="6"/>
      <c r="O96" s="31"/>
      <c r="Q96" s="94"/>
    </row>
    <row r="97" spans="2:17" ht="18" customHeight="1">
      <c r="B97" s="6"/>
      <c r="C97" s="6"/>
      <c r="D97" s="31"/>
      <c r="E97" s="31"/>
      <c r="F97" s="31"/>
      <c r="G97" s="31"/>
      <c r="H97" s="31"/>
      <c r="I97" s="6"/>
      <c r="J97" s="6"/>
      <c r="K97" s="6"/>
      <c r="L97" s="6"/>
      <c r="M97" s="31"/>
      <c r="N97" s="6"/>
      <c r="O97" s="31"/>
      <c r="Q97" s="94"/>
    </row>
    <row r="98" spans="2:17" ht="18" customHeight="1">
      <c r="B98" s="6"/>
      <c r="C98" s="6"/>
      <c r="D98" s="31"/>
      <c r="E98" s="31"/>
      <c r="F98" s="31"/>
      <c r="G98" s="31"/>
      <c r="H98" s="31"/>
      <c r="I98" s="6"/>
      <c r="J98" s="6"/>
      <c r="K98" s="6"/>
      <c r="L98" s="6"/>
      <c r="M98" s="31"/>
      <c r="N98" s="6"/>
      <c r="O98" s="31"/>
      <c r="Q98" s="94"/>
    </row>
    <row r="99" spans="2:17" ht="18" customHeight="1">
      <c r="B99" s="6"/>
      <c r="C99" s="6"/>
      <c r="D99" s="31"/>
      <c r="E99" s="31"/>
      <c r="F99" s="31"/>
      <c r="G99" s="31"/>
      <c r="H99" s="31"/>
      <c r="I99" s="6"/>
      <c r="J99" s="6"/>
      <c r="K99" s="6"/>
      <c r="L99" s="6"/>
      <c r="M99" s="31"/>
      <c r="N99" s="6"/>
      <c r="O99" s="31"/>
      <c r="Q99" s="94"/>
    </row>
    <row r="100" spans="2:17" ht="18" customHeight="1">
      <c r="B100" s="6"/>
      <c r="C100" s="6"/>
      <c r="D100" s="31"/>
      <c r="E100" s="31"/>
      <c r="F100" s="31"/>
      <c r="G100" s="31"/>
      <c r="H100" s="31"/>
      <c r="I100" s="6"/>
      <c r="J100" s="6"/>
      <c r="K100" s="6"/>
      <c r="L100" s="6"/>
      <c r="M100" s="31"/>
      <c r="N100" s="6"/>
      <c r="O100" s="31"/>
      <c r="Q100" s="94"/>
    </row>
    <row r="101" spans="2:17" ht="18" customHeight="1">
      <c r="B101" s="6"/>
      <c r="C101" s="6"/>
      <c r="D101" s="31"/>
      <c r="E101" s="31"/>
      <c r="F101" s="31"/>
      <c r="G101" s="31"/>
      <c r="H101" s="31"/>
      <c r="I101" s="6"/>
      <c r="J101" s="6"/>
      <c r="K101" s="6"/>
      <c r="L101" s="6"/>
      <c r="M101" s="31"/>
      <c r="N101" s="6"/>
      <c r="O101" s="31"/>
      <c r="Q101" s="94"/>
    </row>
  </sheetData>
  <sheetProtection insertRows="0"/>
  <phoneticPr fontId="5" type="noConversion"/>
  <conditionalFormatting sqref="D3:D1048576">
    <cfRule type="expression" dxfId="9" priority="9">
      <formula>OR($C3="보일러",$C3="지역난방")</formula>
    </cfRule>
  </conditionalFormatting>
  <conditionalFormatting sqref="E3:E1048576">
    <cfRule type="expression" dxfId="8" priority="7">
      <formula>OR($C3="냉동기", $C3="흡수식냉동기",$C3="지역난방")</formula>
    </cfRule>
  </conditionalFormatting>
  <conditionalFormatting sqref="F3:F1048576">
    <cfRule type="expression" dxfId="7" priority="8">
      <formula>OR($C3="보일러", $C3="지역난방")</formula>
    </cfRule>
  </conditionalFormatting>
  <conditionalFormatting sqref="G3:G1048576">
    <cfRule type="expression" dxfId="6" priority="6">
      <formula>AND($C3&lt;&gt;"히트펌프", $C3&lt;&gt;"지열히트펌프",$C3&lt;&gt;"")</formula>
    </cfRule>
  </conditionalFormatting>
  <conditionalFormatting sqref="H3:H1048576">
    <cfRule type="expression" dxfId="5" priority="4">
      <formula>AND($C3&lt;&gt;"보일러",$C3&lt;&gt;"")</formula>
    </cfRule>
  </conditionalFormatting>
  <conditionalFormatting sqref="I3:I1048576">
    <cfRule type="expression" dxfId="4" priority="3">
      <formula>AND($C3&lt;&gt;"지역난방", $C3&lt;&gt;"보일러",$C3&lt;&gt;"")</formula>
    </cfRule>
  </conditionalFormatting>
  <conditionalFormatting sqref="J3:J1048576">
    <cfRule type="expression" dxfId="3" priority="5">
      <formula>OR($C3="지역난방")</formula>
    </cfRule>
  </conditionalFormatting>
  <conditionalFormatting sqref="K3:N1048576">
    <cfRule type="expression" dxfId="2" priority="2">
      <formula>AND($C3&lt;&gt;"냉동기",$C3&lt;&gt;"")</formula>
    </cfRule>
  </conditionalFormatting>
  <conditionalFormatting sqref="O3:O1048576">
    <cfRule type="expression" dxfId="1" priority="1">
      <formula>AND($C3&lt;&gt;"흡수식냉동기",$C3&lt;&gt;"")</formula>
    </cfRule>
  </conditionalFormatting>
  <dataValidations count="3">
    <dataValidation type="decimal" allowBlank="1" showInputMessage="1" showErrorMessage="1" errorTitle="연동 보일러 효율" error="0&lt;= 보일러 효율 &lt;=100의 값을 가져야 합니다." sqref="O3:O1048576" xr:uid="{00000000-0002-0000-0800-000000000000}">
      <formula1>0</formula1>
      <formula2>100</formula2>
    </dataValidation>
    <dataValidation type="custom" allowBlank="1" showInputMessage="1" showErrorMessage="1" errorTitle="생산설비_이름" error="생산설비의 이름이 중복되었습니다. 다른 이름을 입력하세요." sqref="B3:B1048576" xr:uid="{00000000-0002-0000-0800-000001000000}">
      <formula1>COUNTIF($B$3:$B$52, B3)=1</formula1>
    </dataValidation>
    <dataValidation type="list" allowBlank="1" showInputMessage="1" showErrorMessage="1" sqref="Q3:Q101" xr:uid="{B9D101D5-7F0E-4D7B-9EE6-C114318A6E4A}">
      <formula1>"ECO2, ECO2-OD, 평면도, 계획도(설비), 사진, 전자 체크리스트, 재검수 필요"</formula1>
    </dataValidation>
  </dataValidations>
  <pageMargins left="0.7" right="0.7" top="0.75" bottom="0.75" header="0.3" footer="0.3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04747C8-66A3-43BE-AC74-8CB86128DB0A}">
          <x14:formula1>
            <xm:f>참조!$G$2:$G$7</xm:f>
          </x14:formula1>
          <xm:sqref>C3:C1048576</xm:sqref>
        </x14:dataValidation>
        <x14:dataValidation type="list" allowBlank="1" showInputMessage="1" showErrorMessage="1" xr:uid="{1491CD99-8C65-43C5-A584-3573E1CE8C48}">
          <x14:formula1>
            <xm:f>참조!$L$2:$L$3</xm:f>
          </x14:formula1>
          <xm:sqref>I3:I1048576</xm:sqref>
        </x14:dataValidation>
        <x14:dataValidation type="list" allowBlank="1" showInputMessage="1" showErrorMessage="1" xr:uid="{A1EFF5A3-CD5E-4634-9EB3-CA66B51DB1DC}">
          <x14:formula1>
            <xm:f>참조!$I$2:$I$4</xm:f>
          </x14:formula1>
          <xm:sqref>K3:K1048576</xm:sqref>
        </x14:dataValidation>
        <x14:dataValidation type="list" allowBlank="1" showInputMessage="1" showErrorMessage="1" xr:uid="{E13DFC1C-E6B6-4037-9CEF-4E0EBC1D1BFC}">
          <x14:formula1>
            <xm:f>참조!$J$2:$J$3</xm:f>
          </x14:formula1>
          <xm:sqref>L3:L1048576</xm:sqref>
        </x14:dataValidation>
        <x14:dataValidation type="list" allowBlank="1" showInputMessage="1" showErrorMessage="1" xr:uid="{787C2D95-52C2-4734-B513-0B849A917A14}">
          <x14:formula1>
            <xm:f>참조!$K$2:$K$3</xm:f>
          </x14:formula1>
          <xm:sqref>N3:N1048576</xm:sqref>
        </x14:dataValidation>
        <x14:dataValidation type="list" allowBlank="1" showInputMessage="1" showErrorMessage="1" xr:uid="{C0068D2B-0A88-4BB0-A0BE-E53DDF25E26B}">
          <x14:formula1>
            <xm:f>참조!$H$2:$H$6</xm:f>
          </x14:formula1>
          <xm:sqref>J3:J1048576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I51"/>
  <sheetViews>
    <sheetView zoomScaleNormal="100" workbookViewId="0">
      <selection activeCell="F38" sqref="F38"/>
    </sheetView>
  </sheetViews>
  <sheetFormatPr defaultColWidth="8.85546875" defaultRowHeight="18" customHeight="1"/>
  <cols>
    <col min="1" max="1" width="1.42578125" style="15" customWidth="1"/>
    <col min="2" max="2" width="22.5703125" style="27" customWidth="1"/>
    <col min="3" max="4" width="18.28515625" style="28" customWidth="1"/>
    <col min="5" max="5" width="18.28515625" style="97" customWidth="1"/>
    <col min="6" max="6" width="12.85546875" style="27" customWidth="1"/>
    <col min="7" max="7" width="24.28515625" style="27" customWidth="1"/>
    <col min="8" max="8" width="2.5703125" style="27" customWidth="1"/>
    <col min="9" max="9" width="20.7109375" style="27" customWidth="1"/>
    <col min="10" max="16384" width="8.85546875" style="27"/>
  </cols>
  <sheetData>
    <row r="1" spans="1:9" ht="6.75" customHeight="1">
      <c r="E1" s="28"/>
    </row>
    <row r="2" spans="1:9" s="26" customFormat="1" ht="18" customHeight="1">
      <c r="A2" s="10"/>
      <c r="B2" s="24" t="s">
        <v>8</v>
      </c>
      <c r="C2" s="25" t="s">
        <v>149</v>
      </c>
      <c r="D2" s="25" t="s">
        <v>150</v>
      </c>
      <c r="E2" s="101" t="s">
        <v>612</v>
      </c>
      <c r="F2" s="3" t="s">
        <v>556</v>
      </c>
      <c r="G2" s="3" t="s">
        <v>557</v>
      </c>
      <c r="I2" s="67" t="s">
        <v>590</v>
      </c>
    </row>
    <row r="3" spans="1:9" ht="18" customHeight="1">
      <c r="B3" s="91"/>
      <c r="C3" s="92"/>
      <c r="D3" s="92"/>
      <c r="E3" s="96"/>
      <c r="F3" s="6"/>
      <c r="G3" s="59"/>
      <c r="I3" s="94"/>
    </row>
    <row r="4" spans="1:9" ht="18" customHeight="1">
      <c r="B4" s="91"/>
      <c r="C4" s="92"/>
      <c r="D4" s="92"/>
      <c r="E4" s="96"/>
      <c r="F4" s="6"/>
      <c r="G4" s="59"/>
      <c r="I4" s="94"/>
    </row>
    <row r="5" spans="1:9" ht="18" customHeight="1">
      <c r="B5" s="91"/>
      <c r="C5" s="92"/>
      <c r="D5" s="92"/>
      <c r="E5" s="96"/>
      <c r="F5" s="6"/>
      <c r="G5" s="59"/>
      <c r="I5" s="94"/>
    </row>
    <row r="6" spans="1:9" ht="18" customHeight="1">
      <c r="B6" s="91"/>
      <c r="C6" s="92"/>
      <c r="D6" s="92"/>
      <c r="E6" s="96"/>
      <c r="F6" s="6"/>
      <c r="G6" s="59"/>
      <c r="I6" s="94"/>
    </row>
    <row r="7" spans="1:9" ht="18" customHeight="1">
      <c r="B7" s="91"/>
      <c r="C7" s="92"/>
      <c r="D7" s="92"/>
      <c r="E7" s="96"/>
      <c r="F7" s="6"/>
      <c r="G7" s="59"/>
      <c r="I7" s="94"/>
    </row>
    <row r="8" spans="1:9" ht="18" customHeight="1">
      <c r="B8" s="91"/>
      <c r="C8" s="92"/>
      <c r="D8" s="92"/>
      <c r="E8" s="96"/>
      <c r="F8" s="6"/>
      <c r="G8" s="59"/>
      <c r="I8" s="94"/>
    </row>
    <row r="9" spans="1:9" ht="18" customHeight="1">
      <c r="B9" s="91"/>
      <c r="C9" s="92"/>
      <c r="D9" s="92"/>
      <c r="E9" s="96"/>
      <c r="F9" s="6"/>
      <c r="G9" s="59"/>
      <c r="I9" s="94"/>
    </row>
    <row r="10" spans="1:9" ht="18" customHeight="1">
      <c r="B10" s="91"/>
      <c r="C10" s="92"/>
      <c r="D10" s="92"/>
      <c r="E10" s="96"/>
      <c r="F10" s="6"/>
      <c r="G10" s="59"/>
      <c r="I10" s="94"/>
    </row>
    <row r="11" spans="1:9" ht="18" customHeight="1">
      <c r="B11" s="91"/>
      <c r="C11" s="92"/>
      <c r="D11" s="92"/>
      <c r="E11" s="96"/>
      <c r="F11" s="6"/>
      <c r="G11" s="59"/>
      <c r="I11" s="94"/>
    </row>
    <row r="12" spans="1:9" ht="18" customHeight="1">
      <c r="B12" s="91"/>
      <c r="C12" s="92"/>
      <c r="D12" s="92"/>
      <c r="E12" s="96"/>
      <c r="F12" s="6"/>
      <c r="G12" s="59"/>
      <c r="I12" s="94"/>
    </row>
    <row r="13" spans="1:9" ht="18" customHeight="1">
      <c r="B13" s="91"/>
      <c r="C13" s="92"/>
      <c r="D13" s="92"/>
      <c r="E13" s="96"/>
      <c r="F13" s="6"/>
      <c r="G13" s="59"/>
      <c r="I13" s="94"/>
    </row>
    <row r="14" spans="1:9" ht="18" customHeight="1">
      <c r="B14" s="91"/>
      <c r="C14" s="92"/>
      <c r="D14" s="92"/>
      <c r="E14" s="96"/>
      <c r="F14" s="6"/>
      <c r="G14" s="59"/>
      <c r="I14" s="94"/>
    </row>
    <row r="15" spans="1:9" ht="18" customHeight="1">
      <c r="B15" s="91"/>
      <c r="C15" s="92"/>
      <c r="D15" s="92"/>
      <c r="E15" s="96"/>
      <c r="F15" s="6"/>
      <c r="G15" s="59"/>
      <c r="I15" s="94"/>
    </row>
    <row r="16" spans="1:9" ht="18" customHeight="1">
      <c r="B16" s="91"/>
      <c r="C16" s="92"/>
      <c r="D16" s="92"/>
      <c r="E16" s="96"/>
      <c r="F16" s="6"/>
      <c r="G16" s="59"/>
      <c r="I16" s="94"/>
    </row>
    <row r="17" spans="2:9" ht="18" customHeight="1">
      <c r="B17" s="91"/>
      <c r="C17" s="92"/>
      <c r="D17" s="92"/>
      <c r="E17" s="96"/>
      <c r="F17" s="6"/>
      <c r="G17" s="59"/>
      <c r="I17" s="94"/>
    </row>
    <row r="18" spans="2:9" ht="18" customHeight="1">
      <c r="B18" s="91"/>
      <c r="C18" s="92"/>
      <c r="D18" s="92"/>
      <c r="E18" s="96"/>
      <c r="F18" s="6"/>
      <c r="G18" s="59"/>
      <c r="I18" s="94"/>
    </row>
    <row r="19" spans="2:9" ht="18" customHeight="1">
      <c r="B19" s="91"/>
      <c r="C19" s="92"/>
      <c r="D19" s="92"/>
      <c r="E19" s="96"/>
      <c r="F19" s="6"/>
      <c r="G19" s="59"/>
      <c r="I19" s="94"/>
    </row>
    <row r="20" spans="2:9" ht="18" customHeight="1">
      <c r="B20" s="91"/>
      <c r="C20" s="92"/>
      <c r="D20" s="92"/>
      <c r="E20" s="96"/>
      <c r="F20" s="6"/>
      <c r="G20" s="59"/>
      <c r="I20" s="94"/>
    </row>
    <row r="21" spans="2:9" ht="18" customHeight="1">
      <c r="B21" s="91"/>
      <c r="C21" s="92"/>
      <c r="D21" s="92"/>
      <c r="E21" s="96"/>
      <c r="F21" s="6"/>
      <c r="G21" s="59"/>
      <c r="I21" s="94"/>
    </row>
    <row r="22" spans="2:9" ht="18" customHeight="1">
      <c r="B22" s="91"/>
      <c r="C22" s="92"/>
      <c r="D22" s="92"/>
      <c r="E22" s="96"/>
      <c r="F22" s="6"/>
      <c r="G22" s="59"/>
      <c r="I22" s="94"/>
    </row>
    <row r="23" spans="2:9" ht="18" customHeight="1">
      <c r="B23" s="91"/>
      <c r="C23" s="92"/>
      <c r="D23" s="92"/>
      <c r="E23" s="96"/>
      <c r="F23" s="6"/>
      <c r="G23" s="59"/>
      <c r="I23" s="94"/>
    </row>
    <row r="24" spans="2:9" ht="18" customHeight="1">
      <c r="B24" s="91"/>
      <c r="C24" s="92"/>
      <c r="D24" s="92"/>
      <c r="E24" s="96"/>
      <c r="F24" s="6"/>
      <c r="G24" s="59"/>
      <c r="I24" s="94"/>
    </row>
    <row r="25" spans="2:9" ht="18" customHeight="1">
      <c r="B25" s="91"/>
      <c r="C25" s="92"/>
      <c r="D25" s="92"/>
      <c r="E25" s="96"/>
      <c r="F25" s="6"/>
      <c r="G25" s="59"/>
      <c r="I25" s="94"/>
    </row>
    <row r="26" spans="2:9" ht="18" customHeight="1">
      <c r="B26" s="91"/>
      <c r="C26" s="92"/>
      <c r="D26" s="92"/>
      <c r="E26" s="96"/>
      <c r="F26" s="6"/>
      <c r="G26" s="59"/>
      <c r="I26" s="94"/>
    </row>
    <row r="27" spans="2:9" ht="18" customHeight="1">
      <c r="B27" s="91"/>
      <c r="C27" s="92"/>
      <c r="D27" s="92"/>
      <c r="E27" s="96"/>
      <c r="F27" s="6"/>
      <c r="G27" s="59"/>
      <c r="I27" s="94"/>
    </row>
    <row r="28" spans="2:9" ht="18" customHeight="1">
      <c r="B28" s="91"/>
      <c r="C28" s="92"/>
      <c r="D28" s="92"/>
      <c r="E28" s="96"/>
      <c r="F28" s="6"/>
      <c r="G28" s="59"/>
      <c r="I28" s="94"/>
    </row>
    <row r="29" spans="2:9" ht="18" customHeight="1">
      <c r="B29" s="91"/>
      <c r="C29" s="92"/>
      <c r="D29" s="92"/>
      <c r="E29" s="96"/>
      <c r="F29" s="6"/>
      <c r="G29" s="59"/>
      <c r="I29" s="94"/>
    </row>
    <row r="30" spans="2:9" ht="18" customHeight="1">
      <c r="B30" s="91"/>
      <c r="C30" s="92"/>
      <c r="D30" s="92"/>
      <c r="E30" s="96"/>
      <c r="F30" s="6"/>
      <c r="G30" s="59"/>
      <c r="I30" s="94"/>
    </row>
    <row r="31" spans="2:9" ht="18" customHeight="1">
      <c r="B31" s="91"/>
      <c r="C31" s="92"/>
      <c r="D31" s="92"/>
      <c r="E31" s="96"/>
      <c r="F31" s="6"/>
      <c r="G31" s="59"/>
      <c r="I31" s="94"/>
    </row>
    <row r="32" spans="2:9" ht="18" customHeight="1">
      <c r="B32" s="91"/>
      <c r="C32" s="92"/>
      <c r="D32" s="92"/>
      <c r="E32" s="96"/>
      <c r="F32" s="6"/>
      <c r="G32" s="59"/>
      <c r="I32" s="94"/>
    </row>
    <row r="33" spans="2:9" ht="18" customHeight="1">
      <c r="B33" s="91"/>
      <c r="C33" s="92"/>
      <c r="D33" s="92"/>
      <c r="E33" s="96"/>
      <c r="F33" s="6"/>
      <c r="G33" s="59"/>
      <c r="I33" s="94"/>
    </row>
    <row r="34" spans="2:9" ht="18" customHeight="1">
      <c r="B34" s="91"/>
      <c r="C34" s="92"/>
      <c r="D34" s="92"/>
      <c r="E34" s="96"/>
      <c r="F34" s="6"/>
      <c r="G34" s="59"/>
      <c r="I34" s="94"/>
    </row>
    <row r="35" spans="2:9" ht="18" customHeight="1">
      <c r="B35" s="91"/>
      <c r="C35" s="92"/>
      <c r="D35" s="92"/>
      <c r="E35" s="96"/>
      <c r="F35" s="6"/>
      <c r="G35" s="59"/>
      <c r="I35" s="94"/>
    </row>
    <row r="36" spans="2:9" ht="18" customHeight="1">
      <c r="B36" s="91"/>
      <c r="C36" s="92"/>
      <c r="D36" s="92"/>
      <c r="E36" s="96"/>
      <c r="F36" s="6"/>
      <c r="G36" s="59"/>
      <c r="I36" s="94"/>
    </row>
    <row r="37" spans="2:9" ht="18" customHeight="1">
      <c r="B37" s="91"/>
      <c r="C37" s="92"/>
      <c r="D37" s="92"/>
      <c r="E37" s="96"/>
      <c r="F37" s="6"/>
      <c r="G37" s="59"/>
      <c r="I37" s="94"/>
    </row>
    <row r="38" spans="2:9" ht="18" customHeight="1">
      <c r="B38" s="91"/>
      <c r="C38" s="92"/>
      <c r="D38" s="92"/>
      <c r="E38" s="96"/>
      <c r="F38" s="6"/>
      <c r="G38" s="59"/>
      <c r="I38" s="94"/>
    </row>
    <row r="39" spans="2:9" ht="18" customHeight="1">
      <c r="B39" s="91"/>
      <c r="C39" s="92"/>
      <c r="D39" s="92"/>
      <c r="E39" s="96"/>
      <c r="F39" s="6"/>
      <c r="G39" s="59"/>
      <c r="I39" s="94"/>
    </row>
    <row r="40" spans="2:9" ht="18" customHeight="1">
      <c r="B40" s="91"/>
      <c r="C40" s="92"/>
      <c r="D40" s="92"/>
      <c r="E40" s="96"/>
      <c r="F40" s="6"/>
      <c r="G40" s="59"/>
      <c r="I40" s="94"/>
    </row>
    <row r="41" spans="2:9" ht="18" customHeight="1">
      <c r="B41" s="91"/>
      <c r="C41" s="92"/>
      <c r="D41" s="92"/>
      <c r="E41" s="96"/>
      <c r="F41" s="6"/>
      <c r="G41" s="59"/>
      <c r="I41" s="94"/>
    </row>
    <row r="42" spans="2:9" ht="18" customHeight="1">
      <c r="B42" s="91"/>
      <c r="C42" s="92"/>
      <c r="D42" s="92"/>
      <c r="E42" s="96"/>
      <c r="F42" s="6"/>
      <c r="G42" s="59"/>
      <c r="I42" s="94"/>
    </row>
    <row r="43" spans="2:9" ht="18" customHeight="1">
      <c r="B43" s="91"/>
      <c r="C43" s="92"/>
      <c r="D43" s="92"/>
      <c r="E43" s="96"/>
      <c r="F43" s="6"/>
      <c r="G43" s="59"/>
      <c r="I43" s="94"/>
    </row>
    <row r="44" spans="2:9" ht="18" customHeight="1">
      <c r="B44" s="91"/>
      <c r="C44" s="92"/>
      <c r="D44" s="92"/>
      <c r="E44" s="96"/>
      <c r="F44" s="6"/>
      <c r="G44" s="59"/>
      <c r="I44" s="94"/>
    </row>
    <row r="45" spans="2:9" ht="18" customHeight="1">
      <c r="B45" s="91"/>
      <c r="C45" s="92"/>
      <c r="D45" s="92"/>
      <c r="E45" s="96"/>
      <c r="F45" s="6"/>
      <c r="G45" s="59"/>
      <c r="I45" s="94"/>
    </row>
    <row r="46" spans="2:9" ht="18" customHeight="1">
      <c r="B46" s="91"/>
      <c r="C46" s="92"/>
      <c r="D46" s="92"/>
      <c r="E46" s="96"/>
      <c r="F46" s="6"/>
      <c r="G46" s="59"/>
      <c r="I46" s="94"/>
    </row>
    <row r="47" spans="2:9" ht="18" customHeight="1">
      <c r="B47" s="91"/>
      <c r="C47" s="92"/>
      <c r="D47" s="92"/>
      <c r="E47" s="96"/>
      <c r="F47" s="6"/>
      <c r="G47" s="59"/>
      <c r="I47" s="94"/>
    </row>
    <row r="48" spans="2:9" ht="18" customHeight="1">
      <c r="B48" s="91"/>
      <c r="C48" s="92"/>
      <c r="D48" s="92"/>
      <c r="E48" s="96"/>
      <c r="F48" s="6"/>
      <c r="G48" s="59"/>
      <c r="I48" s="94"/>
    </row>
    <row r="49" spans="2:9" ht="18" customHeight="1">
      <c r="B49" s="91"/>
      <c r="C49" s="92"/>
      <c r="D49" s="92"/>
      <c r="E49" s="96"/>
      <c r="F49" s="6"/>
      <c r="G49" s="59"/>
      <c r="I49" s="94"/>
    </row>
    <row r="50" spans="2:9" ht="18" customHeight="1">
      <c r="B50" s="91"/>
      <c r="C50" s="92"/>
      <c r="D50" s="92"/>
      <c r="E50" s="96"/>
      <c r="F50" s="6"/>
      <c r="G50" s="59"/>
      <c r="I50" s="94"/>
    </row>
    <row r="51" spans="2:9" ht="18" customHeight="1">
      <c r="B51" s="91"/>
      <c r="C51" s="92"/>
      <c r="D51" s="92"/>
      <c r="E51" s="96"/>
      <c r="F51" s="6"/>
      <c r="G51" s="59"/>
      <c r="I51" s="66"/>
    </row>
  </sheetData>
  <sheetProtection insertRows="0"/>
  <autoFilter ref="B2:G2" xr:uid="{00000000-0001-0000-0900-000000000000}"/>
  <phoneticPr fontId="5" type="noConversion"/>
  <conditionalFormatting sqref="F3:F51">
    <cfRule type="expression" dxfId="0" priority="1">
      <formula>OR($C3="패키지에어컨",$C3="공조기",$C3="팬코일유닛",$C3="바닥난방")</formula>
    </cfRule>
  </conditionalFormatting>
  <dataValidations count="6">
    <dataValidation type="whole" allowBlank="1" showInputMessage="1" showErrorMessage="1" sqref="F3:F1048576" xr:uid="{B9264F4F-0C30-453F-810E-723093236147}">
      <formula1>1</formula1>
      <formula2>999</formula2>
    </dataValidation>
    <dataValidation type="decimal" allowBlank="1" showInputMessage="1" showErrorMessage="1" errorTitle="환기설비 전열유효효율" error="0=&lt;냉난방 전열유효효율&lt;=100 으로 입력하여야 합니다." sqref="C3:D1048576" xr:uid="{00000000-0002-0000-0900-000000000000}">
      <formula1>0</formula1>
      <formula2>100</formula2>
    </dataValidation>
    <dataValidation type="custom" allowBlank="1" showInputMessage="1" showErrorMessage="1" errorTitle="환기설비_이름" error="환기설비의 이름이 중복되었습니다. 다른 이름을 입력하세요." sqref="B3:B1048576" xr:uid="{00000000-0002-0000-0900-000001000000}">
      <formula1>COUNTIF($B$3:$B$274, B3)=1</formula1>
    </dataValidation>
    <dataValidation type="list" allowBlank="1" showInputMessage="1" showErrorMessage="1" sqref="G3:G1048576" xr:uid="{E0618B51-B3FC-4310-A8A0-99A38F0D3C36}">
      <formula1>실_이름목록</formula1>
    </dataValidation>
    <dataValidation type="list" allowBlank="1" showInputMessage="1" showErrorMessage="1" sqref="I3:I51" xr:uid="{D5A031A4-E3CF-4DDF-B429-1E6CA00C1562}">
      <formula1>"없음, ECO2, ECO2-OD, 평면도, 단면도, 계획도(설비), 사진, 전자 체크리스트, 재검수 필요"</formula1>
    </dataValidation>
    <dataValidation type="whole" allowBlank="1" showInputMessage="1" showErrorMessage="1" errorTitle="환기설비 용량" error="0=&lt;용량&lt;=99999 정수로 입력하여야 합니다." sqref="E3:E1048576" xr:uid="{1940F327-082C-4DBF-AA65-87D52FAEBEFA}">
      <formula1>1</formula1>
      <formula2>99999</formula2>
    </dataValidation>
  </dataValidations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1:H4"/>
  <sheetViews>
    <sheetView zoomScaleNormal="100" workbookViewId="0">
      <selection activeCell="B3" sqref="B3"/>
    </sheetView>
  </sheetViews>
  <sheetFormatPr defaultColWidth="8.85546875" defaultRowHeight="18" customHeight="1"/>
  <cols>
    <col min="1" max="1" width="1.85546875" style="27" customWidth="1"/>
    <col min="2" max="2" width="14.7109375" style="34" customWidth="1"/>
    <col min="3" max="3" width="11.28515625" style="34" customWidth="1"/>
    <col min="4" max="4" width="14.28515625" style="34" customWidth="1"/>
    <col min="5" max="5" width="17" style="34" customWidth="1"/>
    <col min="6" max="6" width="16.42578125" style="34" customWidth="1"/>
    <col min="7" max="7" width="3.42578125" style="27" customWidth="1"/>
    <col min="8" max="8" width="18.28515625" style="27" customWidth="1"/>
    <col min="9" max="16384" width="8.85546875" style="27"/>
  </cols>
  <sheetData>
    <row r="1" spans="2:8" ht="6.75" customHeight="1"/>
    <row r="2" spans="2:8" s="26" customFormat="1" ht="18" customHeight="1">
      <c r="B2" s="24" t="s">
        <v>8</v>
      </c>
      <c r="C2" s="24" t="s">
        <v>151</v>
      </c>
      <c r="D2" s="24" t="s">
        <v>141</v>
      </c>
      <c r="E2" s="24" t="s">
        <v>152</v>
      </c>
      <c r="F2" s="24" t="s">
        <v>153</v>
      </c>
      <c r="H2" s="67" t="s">
        <v>591</v>
      </c>
    </row>
    <row r="3" spans="2:8" ht="18" customHeight="1">
      <c r="B3" s="91"/>
      <c r="C3" s="91"/>
      <c r="D3" s="91"/>
      <c r="E3" s="91"/>
      <c r="F3" s="91"/>
      <c r="H3" s="94"/>
    </row>
    <row r="4" spans="2:8" ht="18" customHeight="1">
      <c r="B4" s="91"/>
      <c r="C4" s="91"/>
      <c r="D4" s="91"/>
      <c r="E4" s="91"/>
      <c r="F4" s="91"/>
    </row>
  </sheetData>
  <sheetProtection insertRows="0"/>
  <autoFilter ref="B2:F2" xr:uid="{00000000-0001-0000-0A00-000000000000}"/>
  <phoneticPr fontId="5" type="noConversion"/>
  <dataValidations count="3">
    <dataValidation type="custom" allowBlank="1" showInputMessage="1" showErrorMessage="1" errorTitle="PV패널 방위각" error="0&lt;= 방위각 &lt;360으로 입력하여야 합니다." sqref="E3:E1048576" xr:uid="{00000000-0002-0000-0A00-000000000000}">
      <formula1>AND(E3&gt;=0,E3&lt;360)</formula1>
    </dataValidation>
    <dataValidation type="custom" allowBlank="1" showInputMessage="1" showErrorMessage="1" errorTitle="PV패널 경사각" error="0&lt;=경사각&lt;=90 으로 입력하여야 합니다." sqref="F3:F1048576" xr:uid="{00000000-0002-0000-0A00-000001000000}">
      <formula1>AND(F3&gt;=0, F3&lt;=90)</formula1>
    </dataValidation>
    <dataValidation type="list" allowBlank="1" showInputMessage="1" showErrorMessage="1" sqref="H3" xr:uid="{EDBF510E-321A-44F1-921D-A9D54D3346A4}">
      <formula1>"없음, ECO2, ECO2-OD, 평면도, 단면도, 계획도(설비), 사진, 전자 체크리스트, 재검수 필요"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outlinePr summaryBelow="0" summaryRight="0"/>
  </sheetPr>
  <dimension ref="B1:E140"/>
  <sheetViews>
    <sheetView workbookViewId="0">
      <selection activeCell="E91" sqref="E91"/>
    </sheetView>
  </sheetViews>
  <sheetFormatPr defaultColWidth="12.5703125" defaultRowHeight="18" customHeight="1"/>
  <cols>
    <col min="1" max="1" width="1.5703125" style="21" customWidth="1"/>
    <col min="2" max="2" width="24.42578125" style="21" bestFit="1" customWidth="1"/>
    <col min="3" max="3" width="25.140625" style="21" bestFit="1" customWidth="1"/>
    <col min="4" max="4" width="18.5703125" style="21" bestFit="1" customWidth="1"/>
    <col min="5" max="5" width="24.7109375" style="21" bestFit="1" customWidth="1"/>
    <col min="6" max="6" width="3.28515625" style="21" customWidth="1"/>
    <col min="7" max="16384" width="12.5703125" style="21"/>
  </cols>
  <sheetData>
    <row r="1" spans="2:5" ht="9" customHeight="1"/>
    <row r="2" spans="2:5" s="10" customFormat="1" ht="18" customHeight="1">
      <c r="B2" s="3" t="s">
        <v>8</v>
      </c>
      <c r="C2" s="3" t="s">
        <v>60</v>
      </c>
      <c r="D2" s="3" t="s">
        <v>61</v>
      </c>
      <c r="E2" s="3" t="s">
        <v>62</v>
      </c>
    </row>
    <row r="3" spans="2:5" ht="18" customHeight="1">
      <c r="B3" s="23" t="s">
        <v>63</v>
      </c>
      <c r="C3" s="22">
        <v>0.6</v>
      </c>
      <c r="D3" s="22">
        <v>464</v>
      </c>
      <c r="E3" s="22">
        <v>880</v>
      </c>
    </row>
    <row r="4" spans="2:5" ht="18" customHeight="1">
      <c r="B4" s="7" t="s">
        <v>64</v>
      </c>
      <c r="C4" s="22">
        <v>0.99</v>
      </c>
      <c r="D4" s="22">
        <v>1920</v>
      </c>
      <c r="E4" s="22">
        <v>790</v>
      </c>
    </row>
    <row r="5" spans="2:5" ht="18" customHeight="1">
      <c r="B5" s="7" t="s">
        <v>65</v>
      </c>
      <c r="C5" s="22">
        <v>1.3</v>
      </c>
      <c r="D5" s="22">
        <v>1920</v>
      </c>
      <c r="E5" s="22">
        <v>1260</v>
      </c>
    </row>
    <row r="6" spans="2:5" ht="18" customHeight="1">
      <c r="B6" s="7" t="s">
        <v>66</v>
      </c>
      <c r="C6" s="22">
        <v>0.7</v>
      </c>
      <c r="D6" s="22">
        <v>512</v>
      </c>
      <c r="E6" s="22">
        <v>880</v>
      </c>
    </row>
    <row r="7" spans="2:5" ht="18" customHeight="1">
      <c r="B7" s="22" t="s">
        <v>67</v>
      </c>
      <c r="C7" s="22">
        <v>1</v>
      </c>
      <c r="D7" s="22">
        <v>800</v>
      </c>
      <c r="E7" s="22">
        <v>920</v>
      </c>
    </row>
    <row r="8" spans="2:5" ht="18" customHeight="1">
      <c r="B8" s="22" t="s">
        <v>68</v>
      </c>
      <c r="C8" s="22">
        <v>2.8</v>
      </c>
      <c r="D8" s="22">
        <v>2560</v>
      </c>
      <c r="E8" s="22">
        <v>790</v>
      </c>
    </row>
    <row r="9" spans="2:5" ht="18" customHeight="1">
      <c r="B9" s="22" t="s">
        <v>69</v>
      </c>
      <c r="C9" s="22">
        <v>3.3</v>
      </c>
      <c r="D9" s="22">
        <v>2560</v>
      </c>
      <c r="E9" s="22">
        <v>790</v>
      </c>
    </row>
    <row r="10" spans="2:5" ht="18" customHeight="1">
      <c r="B10" s="22" t="s">
        <v>70</v>
      </c>
      <c r="C10" s="22">
        <v>1.5</v>
      </c>
      <c r="D10" s="22">
        <v>1920</v>
      </c>
      <c r="E10" s="22">
        <v>1260</v>
      </c>
    </row>
    <row r="11" spans="2:5" ht="18" customHeight="1">
      <c r="B11" s="22" t="s">
        <v>71</v>
      </c>
      <c r="C11" s="22">
        <v>0.15</v>
      </c>
      <c r="D11" s="22">
        <v>400</v>
      </c>
      <c r="E11" s="22">
        <v>1300</v>
      </c>
    </row>
    <row r="12" spans="2:5" ht="18" customHeight="1">
      <c r="B12" s="22" t="s">
        <v>72</v>
      </c>
      <c r="C12" s="22">
        <v>0.18</v>
      </c>
      <c r="D12" s="22">
        <v>800</v>
      </c>
      <c r="E12" s="22">
        <v>1090</v>
      </c>
    </row>
    <row r="13" spans="2:5" ht="18" customHeight="1">
      <c r="B13" s="22" t="s">
        <v>73</v>
      </c>
      <c r="C13" s="22">
        <v>0.14000000000000001</v>
      </c>
      <c r="D13" s="22">
        <v>608</v>
      </c>
      <c r="E13" s="22">
        <v>1630</v>
      </c>
    </row>
    <row r="14" spans="2:5" ht="18" customHeight="1">
      <c r="B14" s="22" t="s">
        <v>74</v>
      </c>
      <c r="C14" s="22">
        <v>0.17</v>
      </c>
      <c r="D14" s="22">
        <v>608</v>
      </c>
      <c r="E14" s="22">
        <v>1630</v>
      </c>
    </row>
    <row r="15" spans="2:5" ht="18" customHeight="1">
      <c r="B15" s="22" t="s">
        <v>75</v>
      </c>
      <c r="C15" s="22">
        <v>0.19</v>
      </c>
      <c r="D15" s="22">
        <v>608</v>
      </c>
      <c r="E15" s="22">
        <v>1630</v>
      </c>
    </row>
    <row r="16" spans="2:5" ht="18" customHeight="1">
      <c r="B16" s="22" t="s">
        <v>76</v>
      </c>
      <c r="C16" s="22">
        <v>0.33</v>
      </c>
      <c r="D16" s="22">
        <v>1120</v>
      </c>
      <c r="E16" s="33">
        <v>1260</v>
      </c>
    </row>
    <row r="17" spans="2:5" ht="18" customHeight="1">
      <c r="B17" s="22" t="s">
        <v>77</v>
      </c>
      <c r="C17" s="22">
        <v>0.11</v>
      </c>
      <c r="D17" s="22">
        <v>1120</v>
      </c>
      <c r="E17" s="22">
        <v>1260</v>
      </c>
    </row>
    <row r="18" spans="2:5" ht="18" customHeight="1">
      <c r="B18" s="22" t="s">
        <v>78</v>
      </c>
      <c r="C18" s="22">
        <v>0.14000000000000001</v>
      </c>
      <c r="D18" s="22">
        <v>1120</v>
      </c>
      <c r="E18" s="22">
        <v>1260</v>
      </c>
    </row>
    <row r="19" spans="2:5" ht="18" customHeight="1">
      <c r="B19" s="22" t="s">
        <v>79</v>
      </c>
      <c r="C19" s="22">
        <v>0.22</v>
      </c>
      <c r="D19" s="22">
        <v>1120</v>
      </c>
      <c r="E19" s="22">
        <v>1260</v>
      </c>
    </row>
    <row r="20" spans="2:5" ht="18" customHeight="1">
      <c r="B20" s="22" t="s">
        <v>80</v>
      </c>
      <c r="C20" s="22">
        <v>0.19</v>
      </c>
      <c r="D20" s="22">
        <v>1120</v>
      </c>
      <c r="E20" s="22">
        <v>1460</v>
      </c>
    </row>
    <row r="21" spans="2:5" ht="18" customHeight="1">
      <c r="B21" s="22" t="s">
        <v>81</v>
      </c>
      <c r="C21" s="22">
        <v>0.27</v>
      </c>
      <c r="D21" s="22">
        <v>1120</v>
      </c>
      <c r="E21" s="22">
        <v>1460</v>
      </c>
    </row>
    <row r="22" spans="2:5" ht="18" customHeight="1">
      <c r="B22" s="22" t="s">
        <v>82</v>
      </c>
      <c r="C22" s="22">
        <v>0.34</v>
      </c>
      <c r="D22" s="22">
        <v>1120</v>
      </c>
      <c r="E22" s="22">
        <v>1460</v>
      </c>
    </row>
    <row r="23" spans="2:5" ht="18" customHeight="1">
      <c r="B23" s="22" t="s">
        <v>83</v>
      </c>
      <c r="C23" s="22">
        <v>1.6</v>
      </c>
      <c r="D23" s="22">
        <v>2240</v>
      </c>
      <c r="E23" s="22">
        <v>900</v>
      </c>
    </row>
    <row r="24" spans="2:5" ht="18" customHeight="1">
      <c r="B24" s="22" t="s">
        <v>84</v>
      </c>
      <c r="C24" s="22">
        <v>0.13</v>
      </c>
      <c r="D24" s="22">
        <v>1280</v>
      </c>
      <c r="E24" s="22">
        <v>840</v>
      </c>
    </row>
    <row r="25" spans="2:5" ht="18" customHeight="1">
      <c r="B25" s="22" t="s">
        <v>85</v>
      </c>
      <c r="C25" s="22">
        <v>0.16</v>
      </c>
      <c r="D25" s="22">
        <v>1280</v>
      </c>
      <c r="E25" s="22">
        <v>840</v>
      </c>
    </row>
    <row r="26" spans="2:5" ht="18" customHeight="1">
      <c r="B26" s="22" t="s">
        <v>86</v>
      </c>
      <c r="C26" s="22">
        <v>0.19</v>
      </c>
      <c r="D26" s="22">
        <v>1280</v>
      </c>
      <c r="E26" s="22">
        <v>840</v>
      </c>
    </row>
    <row r="27" spans="2:5" ht="18" customHeight="1">
      <c r="B27" s="22" t="s">
        <v>87</v>
      </c>
      <c r="C27" s="22">
        <v>3.5999999999999997E-2</v>
      </c>
      <c r="D27" s="22">
        <v>43</v>
      </c>
      <c r="E27" s="22">
        <v>1210</v>
      </c>
    </row>
    <row r="28" spans="2:5" ht="18" customHeight="1">
      <c r="B28" s="22" t="s">
        <v>88</v>
      </c>
      <c r="C28" s="22">
        <v>3.6999999999999998E-2</v>
      </c>
      <c r="D28" s="22">
        <v>43</v>
      </c>
      <c r="E28" s="22">
        <v>1210</v>
      </c>
    </row>
    <row r="29" spans="2:5" ht="18" customHeight="1">
      <c r="B29" s="22" t="s">
        <v>89</v>
      </c>
      <c r="C29" s="22">
        <v>0.04</v>
      </c>
      <c r="D29" s="22">
        <v>43</v>
      </c>
      <c r="E29" s="22">
        <v>1210</v>
      </c>
    </row>
    <row r="30" spans="2:5" ht="18" customHeight="1">
      <c r="B30" s="22" t="s">
        <v>90</v>
      </c>
      <c r="C30" s="22">
        <v>4.2999999999999997E-2</v>
      </c>
      <c r="D30" s="22">
        <v>43</v>
      </c>
      <c r="E30" s="22">
        <v>1210</v>
      </c>
    </row>
    <row r="31" spans="2:5" ht="18" customHeight="1">
      <c r="B31" s="22" t="s">
        <v>91</v>
      </c>
      <c r="C31" s="22">
        <v>3.1E-2</v>
      </c>
      <c r="D31" s="22">
        <v>43</v>
      </c>
      <c r="E31" s="22">
        <v>1210</v>
      </c>
    </row>
    <row r="32" spans="2:5" ht="18" customHeight="1">
      <c r="B32" s="22" t="s">
        <v>92</v>
      </c>
      <c r="C32" s="22">
        <v>3.2000000000000001E-2</v>
      </c>
      <c r="D32" s="22">
        <v>43</v>
      </c>
      <c r="E32" s="22">
        <v>1210</v>
      </c>
    </row>
    <row r="33" spans="2:5" ht="18" customHeight="1">
      <c r="B33" s="22" t="s">
        <v>93</v>
      </c>
      <c r="C33" s="22">
        <v>3.3000000000000002E-2</v>
      </c>
      <c r="D33" s="22">
        <v>43</v>
      </c>
      <c r="E33" s="22">
        <v>1210</v>
      </c>
    </row>
    <row r="34" spans="2:5" ht="18" customHeight="1">
      <c r="B34" s="22" t="s">
        <v>94</v>
      </c>
      <c r="C34" s="22">
        <v>3.4000000000000002E-2</v>
      </c>
      <c r="D34" s="22">
        <v>43</v>
      </c>
      <c r="E34" s="22">
        <v>1210</v>
      </c>
    </row>
    <row r="35" spans="2:5" ht="18" customHeight="1">
      <c r="B35" s="22" t="s">
        <v>95</v>
      </c>
      <c r="C35" s="22">
        <v>2.7E-2</v>
      </c>
      <c r="D35" s="22">
        <v>43</v>
      </c>
      <c r="E35" s="22">
        <v>1210</v>
      </c>
    </row>
    <row r="36" spans="2:5" ht="18" customHeight="1">
      <c r="B36" s="22" t="s">
        <v>96</v>
      </c>
      <c r="C36" s="22">
        <v>2.8000000000000001E-2</v>
      </c>
      <c r="D36" s="22">
        <v>43</v>
      </c>
      <c r="E36" s="22">
        <v>1210</v>
      </c>
    </row>
    <row r="37" spans="2:5" ht="18" customHeight="1">
      <c r="B37" s="22" t="s">
        <v>97</v>
      </c>
      <c r="C37" s="22">
        <v>2.9000000000000001E-2</v>
      </c>
      <c r="D37" s="22">
        <v>43</v>
      </c>
      <c r="E37" s="22">
        <v>1210</v>
      </c>
    </row>
    <row r="38" spans="2:5" ht="18" customHeight="1">
      <c r="B38" s="22" t="s">
        <v>98</v>
      </c>
      <c r="C38" s="22">
        <v>3.1E-2</v>
      </c>
      <c r="D38" s="22">
        <v>43</v>
      </c>
      <c r="E38" s="22">
        <v>1210</v>
      </c>
    </row>
    <row r="39" spans="2:5" ht="18" customHeight="1">
      <c r="B39" s="22" t="s">
        <v>99</v>
      </c>
      <c r="C39" s="22">
        <v>2.4E-2</v>
      </c>
      <c r="D39" s="22">
        <v>43</v>
      </c>
      <c r="E39" s="22">
        <v>1210</v>
      </c>
    </row>
    <row r="40" spans="2:5" ht="18" customHeight="1">
      <c r="B40" s="22" t="s">
        <v>100</v>
      </c>
      <c r="C40" s="22">
        <v>2.4E-2</v>
      </c>
      <c r="D40" s="22">
        <v>43</v>
      </c>
      <c r="E40" s="22">
        <v>1210</v>
      </c>
    </row>
    <row r="41" spans="2:5" ht="18" customHeight="1">
      <c r="B41" s="22" t="s">
        <v>101</v>
      </c>
      <c r="C41" s="22">
        <v>2.5000000000000001E-2</v>
      </c>
      <c r="D41" s="22">
        <v>43</v>
      </c>
      <c r="E41" s="22">
        <v>1210</v>
      </c>
    </row>
    <row r="42" spans="2:5" ht="18" customHeight="1">
      <c r="B42" s="22" t="s">
        <v>102</v>
      </c>
      <c r="C42" s="22">
        <v>2.3E-2</v>
      </c>
      <c r="D42" s="22">
        <v>43</v>
      </c>
      <c r="E42" s="22">
        <v>1210</v>
      </c>
    </row>
    <row r="43" spans="2:5" ht="18" customHeight="1">
      <c r="B43" s="22" t="s">
        <v>103</v>
      </c>
      <c r="C43" s="22">
        <v>2.3E-2</v>
      </c>
      <c r="D43" s="22">
        <v>43</v>
      </c>
      <c r="E43" s="22">
        <v>1210</v>
      </c>
    </row>
    <row r="44" spans="2:5" ht="18" customHeight="1">
      <c r="B44" s="22" t="s">
        <v>104</v>
      </c>
      <c r="C44" s="22">
        <v>2.4E-2</v>
      </c>
      <c r="D44" s="22">
        <v>43</v>
      </c>
      <c r="E44" s="22">
        <v>1210</v>
      </c>
    </row>
    <row r="45" spans="2:5" ht="18" customHeight="1">
      <c r="B45" s="22" t="s">
        <v>105</v>
      </c>
      <c r="C45" s="22">
        <v>3.6999999999999998E-2</v>
      </c>
      <c r="D45" s="22">
        <v>19</v>
      </c>
      <c r="E45" s="22">
        <v>960</v>
      </c>
    </row>
    <row r="46" spans="2:5" ht="18" customHeight="1">
      <c r="B46" s="22" t="s">
        <v>106</v>
      </c>
      <c r="C46" s="22">
        <v>3.5999999999999997E-2</v>
      </c>
      <c r="D46" s="22">
        <v>19</v>
      </c>
      <c r="E46" s="22">
        <v>960</v>
      </c>
    </row>
    <row r="47" spans="2:5" ht="18" customHeight="1">
      <c r="B47" s="22" t="s">
        <v>107</v>
      </c>
      <c r="C47" s="22">
        <v>3.7999999999999999E-2</v>
      </c>
      <c r="D47" s="22">
        <v>19</v>
      </c>
      <c r="E47" s="22">
        <v>960</v>
      </c>
    </row>
    <row r="48" spans="2:5" ht="18" customHeight="1">
      <c r="B48" s="22" t="s">
        <v>108</v>
      </c>
      <c r="C48" s="22">
        <v>3.9E-2</v>
      </c>
      <c r="D48" s="22">
        <v>19</v>
      </c>
      <c r="E48" s="22">
        <v>960</v>
      </c>
    </row>
    <row r="49" spans="2:5" ht="18" customHeight="1">
      <c r="B49" s="22" t="s">
        <v>109</v>
      </c>
      <c r="C49" s="22">
        <v>0.04</v>
      </c>
      <c r="D49" s="22">
        <v>19</v>
      </c>
      <c r="E49" s="22">
        <v>960</v>
      </c>
    </row>
    <row r="50" spans="2:5" ht="18" customHeight="1">
      <c r="B50" s="22" t="s">
        <v>110</v>
      </c>
      <c r="C50" s="22">
        <v>3.9E-2</v>
      </c>
      <c r="D50" s="22">
        <v>19</v>
      </c>
      <c r="E50" s="22">
        <v>960</v>
      </c>
    </row>
    <row r="51" spans="2:5" ht="18" customHeight="1">
      <c r="B51" s="22" t="s">
        <v>111</v>
      </c>
      <c r="C51" s="22">
        <v>3.5999999999999997E-2</v>
      </c>
      <c r="D51" s="22">
        <v>19</v>
      </c>
      <c r="E51" s="22">
        <v>960</v>
      </c>
    </row>
    <row r="52" spans="2:5" ht="18" customHeight="1">
      <c r="B52" s="22" t="s">
        <v>112</v>
      </c>
      <c r="C52" s="22">
        <v>3.6999999999999998E-2</v>
      </c>
      <c r="D52" s="22">
        <v>19</v>
      </c>
      <c r="E52" s="22">
        <v>960</v>
      </c>
    </row>
    <row r="53" spans="2:5" ht="18" customHeight="1">
      <c r="B53" s="22" t="s">
        <v>113</v>
      </c>
      <c r="C53" s="22">
        <v>3.5999999999999997E-2</v>
      </c>
      <c r="D53" s="22">
        <v>19</v>
      </c>
      <c r="E53" s="22">
        <v>960</v>
      </c>
    </row>
    <row r="54" spans="2:5" ht="18" customHeight="1">
      <c r="B54" s="22" t="s">
        <v>114</v>
      </c>
      <c r="C54" s="22">
        <v>3.5000000000000003E-2</v>
      </c>
      <c r="D54" s="22">
        <v>19</v>
      </c>
      <c r="E54" s="22">
        <v>960</v>
      </c>
    </row>
    <row r="55" spans="2:5" ht="18" customHeight="1">
      <c r="B55" s="22" t="s">
        <v>115</v>
      </c>
      <c r="C55" s="22">
        <v>3.4000000000000002E-2</v>
      </c>
      <c r="D55" s="22">
        <v>19</v>
      </c>
      <c r="E55" s="22">
        <v>960</v>
      </c>
    </row>
    <row r="56" spans="2:5" ht="18" customHeight="1">
      <c r="B56" s="22" t="s">
        <v>116</v>
      </c>
      <c r="C56" s="22">
        <v>3.5999999999999997E-2</v>
      </c>
      <c r="D56" s="22">
        <v>19</v>
      </c>
      <c r="E56" s="22">
        <v>960</v>
      </c>
    </row>
    <row r="57" spans="2:5" ht="18" customHeight="1">
      <c r="B57" s="22" t="s">
        <v>117</v>
      </c>
      <c r="C57" s="22">
        <v>4.3999999999999997E-2</v>
      </c>
      <c r="D57" s="22">
        <v>19</v>
      </c>
      <c r="E57" s="22">
        <v>960</v>
      </c>
    </row>
    <row r="58" spans="2:5" ht="18" customHeight="1">
      <c r="B58" s="22" t="s">
        <v>118</v>
      </c>
      <c r="C58" s="22">
        <v>3.9E-2</v>
      </c>
      <c r="D58" s="22">
        <v>19</v>
      </c>
      <c r="E58" s="22">
        <v>960</v>
      </c>
    </row>
    <row r="59" spans="2:5" ht="18" customHeight="1">
      <c r="B59" s="22" t="s">
        <v>119</v>
      </c>
      <c r="C59" s="22">
        <v>3.6999999999999998E-2</v>
      </c>
      <c r="D59" s="22">
        <v>19</v>
      </c>
      <c r="E59" s="22">
        <v>960</v>
      </c>
    </row>
    <row r="60" spans="2:5" ht="18" customHeight="1">
      <c r="B60" s="22" t="s">
        <v>120</v>
      </c>
      <c r="C60" s="22">
        <v>3.5999999999999997E-2</v>
      </c>
      <c r="D60" s="22">
        <v>19</v>
      </c>
      <c r="E60" s="22">
        <v>960</v>
      </c>
    </row>
    <row r="61" spans="2:5" ht="18" customHeight="1">
      <c r="B61" s="22" t="s">
        <v>121</v>
      </c>
      <c r="C61" s="22">
        <v>3.5000000000000003E-2</v>
      </c>
      <c r="D61" s="22">
        <v>19</v>
      </c>
      <c r="E61" s="22">
        <v>960</v>
      </c>
    </row>
    <row r="62" spans="2:5" ht="18" customHeight="1">
      <c r="B62" s="22" t="s">
        <v>122</v>
      </c>
      <c r="C62" s="22">
        <v>4.3999999999999997E-2</v>
      </c>
      <c r="D62" s="22">
        <v>19</v>
      </c>
      <c r="E62" s="22">
        <v>960</v>
      </c>
    </row>
    <row r="63" spans="2:5" ht="18" customHeight="1">
      <c r="B63" s="22" t="s">
        <v>123</v>
      </c>
      <c r="C63" s="22">
        <v>4.3999999999999997E-2</v>
      </c>
      <c r="D63" s="22">
        <v>19</v>
      </c>
      <c r="E63" s="22">
        <v>960</v>
      </c>
    </row>
    <row r="64" spans="2:5" ht="18" customHeight="1">
      <c r="B64" s="22" t="s">
        <v>124</v>
      </c>
      <c r="C64" s="22">
        <v>4.3999999999999997E-2</v>
      </c>
      <c r="D64" s="22">
        <v>19</v>
      </c>
      <c r="E64" s="22">
        <v>960</v>
      </c>
    </row>
    <row r="65" spans="2:5" ht="18" customHeight="1">
      <c r="B65" s="22" t="s">
        <v>125</v>
      </c>
      <c r="C65" s="22">
        <v>0.04</v>
      </c>
      <c r="D65" s="22">
        <v>19</v>
      </c>
      <c r="E65" s="22">
        <v>960</v>
      </c>
    </row>
    <row r="66" spans="2:5" ht="18" customHeight="1">
      <c r="B66" s="22" t="s">
        <v>126</v>
      </c>
      <c r="C66" s="22">
        <v>3.5999999999999997E-2</v>
      </c>
      <c r="D66" s="22">
        <v>19</v>
      </c>
      <c r="E66" s="22">
        <v>960</v>
      </c>
    </row>
    <row r="67" spans="2:5" ht="18" customHeight="1">
      <c r="B67" s="22" t="s">
        <v>127</v>
      </c>
      <c r="C67" s="22">
        <v>370</v>
      </c>
      <c r="D67" s="22">
        <v>7824</v>
      </c>
      <c r="E67" s="22">
        <v>500</v>
      </c>
    </row>
    <row r="68" spans="2:5" ht="18" customHeight="1">
      <c r="B68" s="22" t="s">
        <v>128</v>
      </c>
      <c r="C68" s="22">
        <v>25</v>
      </c>
      <c r="D68" s="22">
        <v>7824</v>
      </c>
      <c r="E68" s="22">
        <v>500</v>
      </c>
    </row>
    <row r="69" spans="2:5" ht="18" customHeight="1">
      <c r="B69" s="22" t="s">
        <v>129</v>
      </c>
      <c r="C69" s="22">
        <v>110</v>
      </c>
      <c r="D69" s="22">
        <v>7824</v>
      </c>
      <c r="E69" s="22">
        <v>500</v>
      </c>
    </row>
    <row r="70" spans="2:5" ht="18" customHeight="1">
      <c r="B70" s="22" t="s">
        <v>130</v>
      </c>
      <c r="C70" s="22">
        <v>200</v>
      </c>
      <c r="D70" s="22">
        <v>7824</v>
      </c>
      <c r="E70" s="22">
        <v>500</v>
      </c>
    </row>
    <row r="71" spans="2:5" ht="18" customHeight="1">
      <c r="B71" s="22" t="s">
        <v>131</v>
      </c>
      <c r="C71" s="22">
        <v>53</v>
      </c>
      <c r="D71" s="22">
        <v>7824</v>
      </c>
      <c r="E71" s="22">
        <v>500</v>
      </c>
    </row>
    <row r="72" spans="2:5" ht="18" customHeight="1">
      <c r="B72" s="22" t="s">
        <v>132</v>
      </c>
      <c r="C72" s="22">
        <v>34</v>
      </c>
      <c r="D72" s="22">
        <v>7824</v>
      </c>
      <c r="E72" s="22">
        <v>500</v>
      </c>
    </row>
    <row r="73" spans="2:5" ht="18" customHeight="1">
      <c r="B73" s="22" t="s">
        <v>133</v>
      </c>
      <c r="C73" s="22">
        <v>44</v>
      </c>
      <c r="D73" s="22">
        <v>7824</v>
      </c>
      <c r="E73" s="22">
        <v>500</v>
      </c>
    </row>
    <row r="74" spans="2:5" ht="18" customHeight="1">
      <c r="B74" s="22" t="s">
        <v>134</v>
      </c>
      <c r="C74" s="22">
        <v>15</v>
      </c>
      <c r="D74" s="22">
        <v>7824</v>
      </c>
      <c r="E74" s="22">
        <v>500</v>
      </c>
    </row>
    <row r="75" spans="2:5" ht="18" customHeight="1">
      <c r="B75" s="22" t="s">
        <v>450</v>
      </c>
      <c r="C75" s="22">
        <v>4.2999999999999997E-2</v>
      </c>
      <c r="D75" s="22">
        <v>43</v>
      </c>
      <c r="E75" s="22">
        <v>1210</v>
      </c>
    </row>
    <row r="76" spans="2:5" ht="18" customHeight="1">
      <c r="B76" s="22" t="s">
        <v>451</v>
      </c>
      <c r="C76" s="22">
        <v>1.6</v>
      </c>
      <c r="D76" s="22">
        <v>2240</v>
      </c>
      <c r="E76" s="22">
        <v>900</v>
      </c>
    </row>
    <row r="77" spans="2:5" ht="18" customHeight="1">
      <c r="B77" s="22" t="s">
        <v>452</v>
      </c>
      <c r="C77" s="22">
        <v>0.7</v>
      </c>
      <c r="D77" s="22">
        <v>512</v>
      </c>
      <c r="E77" s="22">
        <v>880</v>
      </c>
    </row>
    <row r="78" spans="2:5" ht="18" customHeight="1">
      <c r="B78" s="22" t="s">
        <v>453</v>
      </c>
      <c r="C78" s="22">
        <v>1.6</v>
      </c>
      <c r="D78" s="22">
        <v>2240</v>
      </c>
      <c r="E78" s="22">
        <v>900</v>
      </c>
    </row>
    <row r="79" spans="2:5" ht="18" customHeight="1">
      <c r="B79" s="22" t="s">
        <v>454</v>
      </c>
      <c r="C79" s="22">
        <v>1.6</v>
      </c>
      <c r="D79" s="22">
        <v>2240</v>
      </c>
      <c r="E79" s="22">
        <v>900</v>
      </c>
    </row>
    <row r="80" spans="2:5" ht="18" customHeight="1">
      <c r="B80" s="22" t="s">
        <v>455</v>
      </c>
      <c r="C80" s="22">
        <v>1.6</v>
      </c>
      <c r="D80" s="22">
        <v>2240</v>
      </c>
      <c r="E80" s="22">
        <v>900</v>
      </c>
    </row>
    <row r="81" spans="2:5" ht="18" customHeight="1">
      <c r="B81" s="22" t="s">
        <v>456</v>
      </c>
      <c r="C81" s="22">
        <v>0.13</v>
      </c>
      <c r="D81" s="22">
        <v>1280</v>
      </c>
      <c r="E81" s="22">
        <v>840</v>
      </c>
    </row>
    <row r="82" spans="2:5" ht="18" customHeight="1">
      <c r="B82" s="22" t="s">
        <v>457</v>
      </c>
      <c r="C82" s="22">
        <v>1.4</v>
      </c>
      <c r="D82" s="22">
        <v>464</v>
      </c>
      <c r="E82" s="22">
        <v>880</v>
      </c>
    </row>
    <row r="83" spans="2:5" ht="18" customHeight="1">
      <c r="B83" s="22" t="s">
        <v>458</v>
      </c>
      <c r="C83" s="22">
        <v>1.6</v>
      </c>
      <c r="D83" s="22">
        <v>2240</v>
      </c>
      <c r="E83" s="22">
        <v>900</v>
      </c>
    </row>
    <row r="84" spans="2:5" ht="18" customHeight="1">
      <c r="B84" s="22" t="s">
        <v>459</v>
      </c>
      <c r="C84" s="22">
        <v>0.19</v>
      </c>
      <c r="D84" s="22">
        <v>608</v>
      </c>
      <c r="E84" s="22">
        <v>1630</v>
      </c>
    </row>
    <row r="85" spans="2:5" ht="18" customHeight="1">
      <c r="B85" s="22" t="s">
        <v>603</v>
      </c>
      <c r="C85" s="22">
        <v>0.02</v>
      </c>
      <c r="D85" s="22">
        <v>35</v>
      </c>
      <c r="E85" s="22">
        <v>1400</v>
      </c>
    </row>
    <row r="86" spans="2:5" ht="18" customHeight="1">
      <c r="B86" s="22" t="s">
        <v>604</v>
      </c>
      <c r="C86" s="22">
        <v>3.4000000000000002E-2</v>
      </c>
      <c r="D86" s="22">
        <v>43</v>
      </c>
      <c r="E86" s="22">
        <v>1210</v>
      </c>
    </row>
    <row r="87" spans="2:5" ht="18" customHeight="1">
      <c r="B87" s="22" t="s">
        <v>605</v>
      </c>
      <c r="C87" s="22">
        <v>0.04</v>
      </c>
      <c r="D87" s="22">
        <v>43</v>
      </c>
      <c r="E87" s="22">
        <v>1210</v>
      </c>
    </row>
    <row r="88" spans="2:5" ht="18" customHeight="1">
      <c r="B88" s="22" t="s">
        <v>606</v>
      </c>
      <c r="C88" s="22">
        <v>2.3E-2</v>
      </c>
      <c r="D88" s="22">
        <v>41.5</v>
      </c>
      <c r="E88" s="22">
        <v>1400</v>
      </c>
    </row>
    <row r="89" spans="2:5" ht="18" customHeight="1">
      <c r="B89" s="22" t="s">
        <v>607</v>
      </c>
      <c r="C89" s="22">
        <v>7.0000000000000001E-3</v>
      </c>
      <c r="D89" s="22">
        <v>175</v>
      </c>
      <c r="E89" s="22">
        <v>850</v>
      </c>
    </row>
    <row r="90" spans="2:5" ht="18" customHeight="1">
      <c r="B90" s="22" t="s">
        <v>608</v>
      </c>
      <c r="C90" s="22">
        <v>0.05</v>
      </c>
      <c r="D90" s="22">
        <v>70</v>
      </c>
      <c r="E90" s="22">
        <v>2300</v>
      </c>
    </row>
    <row r="91" spans="2:5" ht="18" customHeight="1">
      <c r="B91" s="22"/>
      <c r="C91" s="22"/>
      <c r="D91" s="22"/>
      <c r="E91" s="22"/>
    </row>
    <row r="92" spans="2:5" ht="18" customHeight="1">
      <c r="B92" s="22"/>
      <c r="C92" s="22"/>
      <c r="D92" s="22"/>
      <c r="E92" s="22"/>
    </row>
    <row r="93" spans="2:5" ht="18" customHeight="1">
      <c r="B93" s="22"/>
      <c r="C93" s="22"/>
      <c r="D93" s="22"/>
      <c r="E93" s="22"/>
    </row>
    <row r="94" spans="2:5" ht="18" customHeight="1">
      <c r="B94" s="22"/>
      <c r="C94" s="22"/>
      <c r="D94" s="22"/>
      <c r="E94" s="22"/>
    </row>
    <row r="95" spans="2:5" ht="18" customHeight="1">
      <c r="B95" s="22"/>
      <c r="C95" s="22"/>
      <c r="D95" s="22"/>
      <c r="E95" s="22"/>
    </row>
    <row r="96" spans="2:5" ht="18" customHeight="1">
      <c r="B96" s="22"/>
      <c r="C96" s="22"/>
      <c r="D96" s="22"/>
      <c r="E96" s="22"/>
    </row>
    <row r="97" spans="2:5" ht="18" customHeight="1">
      <c r="B97" s="22"/>
      <c r="C97" s="22"/>
      <c r="D97" s="22"/>
      <c r="E97" s="22"/>
    </row>
    <row r="98" spans="2:5" ht="18" customHeight="1">
      <c r="B98" s="22"/>
      <c r="C98" s="22"/>
      <c r="D98" s="22"/>
      <c r="E98" s="22"/>
    </row>
    <row r="99" spans="2:5" ht="18" customHeight="1">
      <c r="B99" s="22"/>
      <c r="C99" s="22"/>
      <c r="D99" s="22"/>
      <c r="E99" s="22"/>
    </row>
    <row r="100" spans="2:5" ht="18" customHeight="1">
      <c r="B100" s="22"/>
      <c r="C100" s="22"/>
      <c r="D100" s="22"/>
      <c r="E100" s="22"/>
    </row>
    <row r="101" spans="2:5" ht="18" customHeight="1">
      <c r="B101" s="22"/>
      <c r="C101" s="22"/>
      <c r="D101" s="22"/>
      <c r="E101" s="22"/>
    </row>
    <row r="102" spans="2:5" ht="18" customHeight="1">
      <c r="B102" s="22"/>
      <c r="C102" s="22"/>
      <c r="D102" s="22"/>
      <c r="E102" s="22"/>
    </row>
    <row r="103" spans="2:5" ht="18" customHeight="1">
      <c r="B103" s="22"/>
      <c r="C103" s="22"/>
      <c r="D103" s="22"/>
      <c r="E103" s="22"/>
    </row>
    <row r="104" spans="2:5" ht="18" customHeight="1">
      <c r="B104" s="22"/>
      <c r="C104" s="22"/>
      <c r="D104" s="22"/>
      <c r="E104" s="22"/>
    </row>
    <row r="105" spans="2:5" ht="18" customHeight="1">
      <c r="B105" s="22"/>
      <c r="C105" s="22"/>
      <c r="D105" s="22"/>
      <c r="E105" s="22"/>
    </row>
    <row r="106" spans="2:5" ht="18" customHeight="1">
      <c r="B106" s="22"/>
      <c r="C106" s="22"/>
      <c r="D106" s="22"/>
      <c r="E106" s="22"/>
    </row>
    <row r="107" spans="2:5" ht="18" customHeight="1">
      <c r="B107" s="22"/>
      <c r="C107" s="22"/>
      <c r="D107" s="22"/>
      <c r="E107" s="22"/>
    </row>
    <row r="108" spans="2:5" ht="18" customHeight="1">
      <c r="B108" s="22"/>
      <c r="C108" s="22"/>
      <c r="D108" s="22"/>
      <c r="E108" s="22"/>
    </row>
    <row r="109" spans="2:5" ht="18" customHeight="1">
      <c r="B109" s="22"/>
      <c r="C109" s="22"/>
      <c r="D109" s="22"/>
      <c r="E109" s="22"/>
    </row>
    <row r="110" spans="2:5" ht="18" customHeight="1">
      <c r="B110" s="22"/>
      <c r="C110" s="22"/>
      <c r="D110" s="22"/>
      <c r="E110" s="22"/>
    </row>
    <row r="111" spans="2:5" ht="18" customHeight="1">
      <c r="B111" s="22"/>
      <c r="C111" s="22"/>
      <c r="D111" s="22"/>
      <c r="E111" s="22"/>
    </row>
    <row r="112" spans="2:5" ht="18" customHeight="1">
      <c r="B112" s="22"/>
      <c r="C112" s="22"/>
      <c r="D112" s="22"/>
      <c r="E112" s="22"/>
    </row>
    <row r="113" spans="2:5" ht="18" customHeight="1">
      <c r="B113" s="22"/>
      <c r="C113" s="22"/>
      <c r="D113" s="22"/>
      <c r="E113" s="22"/>
    </row>
    <row r="114" spans="2:5" ht="18" customHeight="1">
      <c r="B114" s="22"/>
      <c r="C114" s="22"/>
      <c r="D114" s="22"/>
      <c r="E114" s="22"/>
    </row>
    <row r="115" spans="2:5" ht="18" customHeight="1">
      <c r="B115" s="22"/>
      <c r="C115" s="22"/>
      <c r="D115" s="22"/>
      <c r="E115" s="22"/>
    </row>
    <row r="116" spans="2:5" ht="18" customHeight="1">
      <c r="B116" s="22"/>
      <c r="C116" s="22"/>
      <c r="D116" s="22"/>
      <c r="E116" s="22"/>
    </row>
    <row r="117" spans="2:5" ht="18" customHeight="1">
      <c r="B117" s="22"/>
      <c r="C117" s="22"/>
      <c r="D117" s="22"/>
      <c r="E117" s="22"/>
    </row>
    <row r="118" spans="2:5" ht="18" customHeight="1">
      <c r="B118" s="22"/>
      <c r="C118" s="22"/>
      <c r="D118" s="22"/>
      <c r="E118" s="22"/>
    </row>
    <row r="119" spans="2:5" ht="18" customHeight="1">
      <c r="B119" s="22"/>
      <c r="C119" s="22"/>
      <c r="D119" s="22"/>
      <c r="E119" s="22"/>
    </row>
    <row r="120" spans="2:5" ht="18" customHeight="1">
      <c r="B120" s="22"/>
      <c r="C120" s="22"/>
      <c r="D120" s="22"/>
      <c r="E120" s="22"/>
    </row>
    <row r="121" spans="2:5" ht="18" customHeight="1">
      <c r="B121" s="22"/>
      <c r="C121" s="22"/>
      <c r="D121" s="22"/>
      <c r="E121" s="22"/>
    </row>
    <row r="122" spans="2:5" ht="18" customHeight="1">
      <c r="B122" s="22"/>
      <c r="C122" s="22"/>
      <c r="D122" s="22"/>
      <c r="E122" s="22"/>
    </row>
    <row r="123" spans="2:5" ht="18" customHeight="1">
      <c r="B123" s="22"/>
      <c r="C123" s="22"/>
      <c r="D123" s="22"/>
      <c r="E123" s="22"/>
    </row>
    <row r="124" spans="2:5" ht="18" customHeight="1">
      <c r="B124" s="22"/>
      <c r="C124" s="22"/>
      <c r="D124" s="22"/>
      <c r="E124" s="22"/>
    </row>
    <row r="125" spans="2:5" ht="18" customHeight="1">
      <c r="B125" s="22"/>
      <c r="C125" s="22"/>
      <c r="D125" s="22"/>
      <c r="E125" s="22"/>
    </row>
    <row r="126" spans="2:5" ht="18" customHeight="1">
      <c r="B126" s="22"/>
      <c r="C126" s="22"/>
      <c r="D126" s="22"/>
      <c r="E126" s="22"/>
    </row>
    <row r="127" spans="2:5" ht="18" customHeight="1">
      <c r="B127" s="22"/>
      <c r="C127" s="22"/>
      <c r="D127" s="22"/>
      <c r="E127" s="22"/>
    </row>
    <row r="128" spans="2:5" ht="18" customHeight="1">
      <c r="B128" s="22"/>
      <c r="C128" s="22"/>
      <c r="D128" s="22"/>
      <c r="E128" s="22"/>
    </row>
    <row r="129" spans="2:5" ht="18" customHeight="1">
      <c r="B129" s="22"/>
      <c r="C129" s="22"/>
      <c r="D129" s="22"/>
      <c r="E129" s="22"/>
    </row>
    <row r="130" spans="2:5" ht="18" customHeight="1">
      <c r="B130" s="22"/>
      <c r="C130" s="22"/>
      <c r="D130" s="22"/>
      <c r="E130" s="22"/>
    </row>
    <row r="131" spans="2:5" ht="18" customHeight="1">
      <c r="B131" s="22"/>
      <c r="C131" s="22"/>
      <c r="D131" s="22"/>
      <c r="E131" s="22"/>
    </row>
    <row r="132" spans="2:5" ht="18" customHeight="1">
      <c r="B132" s="22"/>
      <c r="C132" s="22"/>
      <c r="D132" s="22"/>
      <c r="E132" s="22"/>
    </row>
    <row r="133" spans="2:5" ht="18" customHeight="1">
      <c r="B133" s="22"/>
      <c r="C133" s="22"/>
      <c r="D133" s="22"/>
      <c r="E133" s="22"/>
    </row>
    <row r="134" spans="2:5" ht="18" customHeight="1">
      <c r="B134" s="22"/>
      <c r="C134" s="22"/>
      <c r="D134" s="22"/>
      <c r="E134" s="22"/>
    </row>
    <row r="135" spans="2:5" ht="18" customHeight="1">
      <c r="B135" s="22"/>
      <c r="C135" s="22"/>
      <c r="D135" s="22"/>
      <c r="E135" s="22"/>
    </row>
    <row r="136" spans="2:5" ht="18" customHeight="1">
      <c r="B136" s="22"/>
      <c r="C136" s="22"/>
      <c r="D136" s="22"/>
      <c r="E136" s="22"/>
    </row>
    <row r="137" spans="2:5" ht="18" customHeight="1">
      <c r="B137" s="22"/>
      <c r="C137" s="22"/>
      <c r="D137" s="22"/>
      <c r="E137" s="22"/>
    </row>
    <row r="138" spans="2:5" ht="18" customHeight="1">
      <c r="B138" s="22"/>
      <c r="C138" s="22"/>
      <c r="D138" s="22"/>
      <c r="E138" s="22"/>
    </row>
    <row r="139" spans="2:5" ht="18" customHeight="1">
      <c r="B139" s="22"/>
      <c r="C139" s="22"/>
      <c r="D139" s="22"/>
      <c r="E139" s="22"/>
    </row>
    <row r="140" spans="2:5" ht="18" customHeight="1">
      <c r="B140" s="22"/>
      <c r="C140" s="22"/>
      <c r="D140" s="22"/>
      <c r="E140" s="22"/>
    </row>
  </sheetData>
  <sheetProtection insertRows="0"/>
  <phoneticPr fontId="5" type="noConversion"/>
  <dataValidations count="2">
    <dataValidation type="custom" allowBlank="1" showInputMessage="1" showErrorMessage="1" errorTitle="재료 이름" error="재료의 이름이 중복되었습니다. 다른 이름을 입력하세요." sqref="B85:B1048576 B3:B74" xr:uid="{00000000-0002-0000-0600-000000000000}">
      <formula1>COUNTIF($B$3:$B$300, B3)=1</formula1>
    </dataValidation>
    <dataValidation type="custom" allowBlank="1" showInputMessage="1" showErrorMessage="1" errorTitle="재료 이름" error="재료의 이름이 중복되었습니다. 다른 이름을 입력하세요." sqref="B75:B84" xr:uid="{D5E5013B-6084-41FA-9115-C1AD0998AB2B}">
      <formula1>COUNTIF($B$3:$B$299, B75)=1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U253"/>
  <sheetViews>
    <sheetView workbookViewId="0">
      <selection activeCell="V1" sqref="V1"/>
    </sheetView>
  </sheetViews>
  <sheetFormatPr defaultColWidth="9.140625" defaultRowHeight="16.5"/>
  <cols>
    <col min="1" max="1" width="15.140625" style="1" bestFit="1" customWidth="1"/>
    <col min="2" max="2" width="16.7109375" style="1" bestFit="1" customWidth="1"/>
    <col min="3" max="3" width="20" style="1" bestFit="1" customWidth="1"/>
    <col min="4" max="4" width="24.85546875" style="1" bestFit="1" customWidth="1"/>
    <col min="5" max="5" width="11.5703125" style="1" bestFit="1" customWidth="1"/>
    <col min="6" max="7" width="15.140625" style="1" bestFit="1" customWidth="1"/>
    <col min="8" max="8" width="9.140625" style="1" customWidth="1"/>
    <col min="9" max="9" width="14" style="1" bestFit="1" customWidth="1"/>
    <col min="10" max="10" width="8.42578125" style="1" bestFit="1" customWidth="1"/>
    <col min="11" max="11" width="14" style="1" bestFit="1" customWidth="1"/>
    <col min="12" max="12" width="9.140625" style="1" customWidth="1"/>
    <col min="13" max="13" width="33.140625" style="4" bestFit="1" customWidth="1"/>
    <col min="14" max="14" width="11" style="1" bestFit="1" customWidth="1"/>
    <col min="15" max="15" width="17" style="1" bestFit="1" customWidth="1"/>
    <col min="16" max="16" width="20.28515625" style="1" bestFit="1" customWidth="1"/>
    <col min="17" max="17" width="13.5703125" style="1" bestFit="1" customWidth="1"/>
    <col min="18" max="18" width="9.5703125" style="1" bestFit="1" customWidth="1"/>
    <col min="19" max="19" width="15.42578125" style="1" bestFit="1" customWidth="1"/>
    <col min="20" max="20" width="13" style="1" bestFit="1" customWidth="1"/>
    <col min="21" max="16384" width="9.140625" style="1"/>
  </cols>
  <sheetData>
    <row r="1" spans="1:21">
      <c r="A1" s="2" t="s">
        <v>154</v>
      </c>
      <c r="B1" s="2" t="s">
        <v>155</v>
      </c>
      <c r="C1" s="2" t="s">
        <v>156</v>
      </c>
      <c r="D1" s="2" t="s">
        <v>9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0" t="s">
        <v>165</v>
      </c>
      <c r="N1" s="2" t="s">
        <v>166</v>
      </c>
      <c r="O1" s="2" t="s">
        <v>463</v>
      </c>
      <c r="P1" s="2" t="s">
        <v>464</v>
      </c>
      <c r="Q1" s="2" t="s">
        <v>462</v>
      </c>
      <c r="R1" s="2" t="s">
        <v>465</v>
      </c>
      <c r="S1" s="2" t="s">
        <v>466</v>
      </c>
      <c r="T1" s="2" t="s">
        <v>467</v>
      </c>
      <c r="U1" s="2" t="s">
        <v>592</v>
      </c>
    </row>
    <row r="2" spans="1:21">
      <c r="A2" s="1" t="s">
        <v>34</v>
      </c>
      <c r="B2" s="1" t="s">
        <v>35</v>
      </c>
      <c r="C2" s="1" t="s">
        <v>44</v>
      </c>
      <c r="D2" s="53" t="s">
        <v>167</v>
      </c>
      <c r="E2" s="1" t="s">
        <v>59</v>
      </c>
      <c r="F2" s="1" t="s">
        <v>168</v>
      </c>
      <c r="G2" s="1" t="s">
        <v>169</v>
      </c>
      <c r="H2" s="1" t="s">
        <v>170</v>
      </c>
      <c r="I2" s="1" t="s">
        <v>171</v>
      </c>
      <c r="J2" s="1" t="s">
        <v>172</v>
      </c>
      <c r="K2" s="1" t="s">
        <v>173</v>
      </c>
      <c r="L2" s="1" t="b">
        <v>1</v>
      </c>
      <c r="M2" s="29" t="s">
        <v>174</v>
      </c>
      <c r="N2" s="1">
        <v>20250813</v>
      </c>
      <c r="O2" s="1" t="s">
        <v>468</v>
      </c>
      <c r="P2" s="1">
        <v>2018</v>
      </c>
      <c r="Q2" s="1" t="s">
        <v>469</v>
      </c>
      <c r="R2" s="1" t="s">
        <v>470</v>
      </c>
      <c r="S2" s="1" t="s">
        <v>471</v>
      </c>
      <c r="T2" s="1" t="s">
        <v>472</v>
      </c>
      <c r="U2" s="1" t="str" cm="1">
        <f t="array" ref="U2">_xlfn._xlws.FILTER(
    면!$B$3:$B$672,
    (면!$E$3:$E$672="outdoors")*
    (면!$D$3:$D$672="wall")*
    (면!$B$3:$B$672&lt;&gt;""),
    ""
)</f>
        <v/>
      </c>
    </row>
    <row r="3" spans="1:21">
      <c r="A3" s="1" t="s">
        <v>39</v>
      </c>
      <c r="B3" s="1" t="s">
        <v>38</v>
      </c>
      <c r="C3" s="1" t="s">
        <v>175</v>
      </c>
      <c r="D3" s="53" t="s">
        <v>17</v>
      </c>
      <c r="E3" s="1" t="s">
        <v>58</v>
      </c>
      <c r="F3" s="1" t="s">
        <v>176</v>
      </c>
      <c r="G3" s="1" t="s">
        <v>177</v>
      </c>
      <c r="H3" s="1" t="s">
        <v>558</v>
      </c>
      <c r="I3" s="1" t="s">
        <v>178</v>
      </c>
      <c r="J3" s="1" t="s">
        <v>179</v>
      </c>
      <c r="K3" s="1" t="s">
        <v>180</v>
      </c>
      <c r="L3" s="1" t="b">
        <v>0</v>
      </c>
      <c r="M3" s="29" t="s">
        <v>181</v>
      </c>
      <c r="O3" s="1" t="s">
        <v>473</v>
      </c>
      <c r="P3" s="1">
        <v>2019</v>
      </c>
      <c r="Q3" s="1" t="s">
        <v>474</v>
      </c>
      <c r="R3" s="1" t="s">
        <v>475</v>
      </c>
      <c r="S3" s="1" t="s">
        <v>476</v>
      </c>
      <c r="T3" s="1" t="s">
        <v>477</v>
      </c>
    </row>
    <row r="4" spans="1:21">
      <c r="A4" s="1" t="s">
        <v>36</v>
      </c>
      <c r="B4" s="1" t="s">
        <v>40</v>
      </c>
      <c r="C4" s="1" t="s">
        <v>43</v>
      </c>
      <c r="D4" s="53" t="s">
        <v>182</v>
      </c>
      <c r="F4" s="1" t="s">
        <v>183</v>
      </c>
      <c r="G4" s="1" t="s">
        <v>184</v>
      </c>
      <c r="H4" s="1" t="s">
        <v>559</v>
      </c>
      <c r="I4" s="1" t="s">
        <v>186</v>
      </c>
      <c r="M4" s="29" t="s">
        <v>187</v>
      </c>
      <c r="P4" s="1">
        <v>2020</v>
      </c>
      <c r="S4" s="1" t="s">
        <v>478</v>
      </c>
      <c r="T4" s="1" t="s">
        <v>479</v>
      </c>
    </row>
    <row r="5" spans="1:21">
      <c r="B5" s="1" t="s">
        <v>37</v>
      </c>
      <c r="D5" s="53" t="s">
        <v>537</v>
      </c>
      <c r="F5" s="1" t="s">
        <v>188</v>
      </c>
      <c r="G5" s="1" t="s">
        <v>189</v>
      </c>
      <c r="H5" s="1" t="s">
        <v>185</v>
      </c>
      <c r="M5" s="29" t="s">
        <v>191</v>
      </c>
      <c r="P5" s="1">
        <v>2021</v>
      </c>
      <c r="S5" s="1" t="s">
        <v>480</v>
      </c>
      <c r="T5" s="1" t="s">
        <v>481</v>
      </c>
    </row>
    <row r="6" spans="1:21">
      <c r="D6" s="53" t="s">
        <v>192</v>
      </c>
      <c r="F6" s="1" t="s">
        <v>193</v>
      </c>
      <c r="G6" s="1" t="s">
        <v>190</v>
      </c>
      <c r="H6" s="1" t="s">
        <v>190</v>
      </c>
      <c r="M6" s="29" t="s">
        <v>194</v>
      </c>
      <c r="P6" s="1">
        <v>2022</v>
      </c>
      <c r="S6" s="1" t="s">
        <v>482</v>
      </c>
      <c r="T6" s="1" t="s">
        <v>483</v>
      </c>
    </row>
    <row r="7" spans="1:21">
      <c r="D7" s="53" t="s">
        <v>195</v>
      </c>
      <c r="F7" s="1" t="s">
        <v>139</v>
      </c>
      <c r="G7" s="1" t="s">
        <v>18</v>
      </c>
      <c r="M7" s="29" t="s">
        <v>196</v>
      </c>
      <c r="P7" s="1">
        <v>2023</v>
      </c>
      <c r="T7" s="1" t="s">
        <v>484</v>
      </c>
    </row>
    <row r="8" spans="1:21">
      <c r="D8" s="53" t="s">
        <v>21</v>
      </c>
      <c r="F8" s="1" t="s">
        <v>609</v>
      </c>
      <c r="M8" s="29" t="s">
        <v>197</v>
      </c>
      <c r="P8" s="1">
        <v>2024</v>
      </c>
      <c r="T8" s="1" t="s">
        <v>485</v>
      </c>
    </row>
    <row r="9" spans="1:21">
      <c r="D9" s="53" t="s">
        <v>198</v>
      </c>
      <c r="M9" s="29" t="s">
        <v>199</v>
      </c>
      <c r="P9" s="1">
        <v>2025</v>
      </c>
    </row>
    <row r="10" spans="1:21">
      <c r="D10" s="53" t="s">
        <v>22</v>
      </c>
      <c r="M10" s="29" t="s">
        <v>200</v>
      </c>
    </row>
    <row r="11" spans="1:21">
      <c r="D11" s="53" t="s">
        <v>19</v>
      </c>
      <c r="M11" s="29" t="s">
        <v>201</v>
      </c>
    </row>
    <row r="12" spans="1:21">
      <c r="D12" s="53" t="s">
        <v>202</v>
      </c>
      <c r="M12" s="29" t="s">
        <v>203</v>
      </c>
    </row>
    <row r="13" spans="1:21">
      <c r="D13" s="53" t="s">
        <v>20</v>
      </c>
      <c r="M13" s="29" t="s">
        <v>204</v>
      </c>
    </row>
    <row r="14" spans="1:21">
      <c r="D14" s="53" t="s">
        <v>205</v>
      </c>
      <c r="M14" s="29" t="s">
        <v>206</v>
      </c>
    </row>
    <row r="15" spans="1:21">
      <c r="D15" s="53" t="s">
        <v>207</v>
      </c>
      <c r="M15" s="29" t="s">
        <v>208</v>
      </c>
    </row>
    <row r="16" spans="1:21">
      <c r="D16" s="53" t="s">
        <v>542</v>
      </c>
      <c r="M16" s="29" t="s">
        <v>209</v>
      </c>
    </row>
    <row r="17" spans="4:13">
      <c r="D17" s="53" t="s">
        <v>543</v>
      </c>
      <c r="M17" s="29" t="s">
        <v>210</v>
      </c>
    </row>
    <row r="18" spans="4:13">
      <c r="D18" s="53" t="s">
        <v>545</v>
      </c>
      <c r="M18" s="29" t="s">
        <v>211</v>
      </c>
    </row>
    <row r="19" spans="4:13">
      <c r="D19" s="53" t="s">
        <v>547</v>
      </c>
      <c r="M19" s="29" t="s">
        <v>212</v>
      </c>
    </row>
    <row r="20" spans="4:13">
      <c r="D20" s="53" t="s">
        <v>214</v>
      </c>
      <c r="M20" s="29" t="s">
        <v>213</v>
      </c>
    </row>
    <row r="21" spans="4:13">
      <c r="D21" s="53" t="s">
        <v>23</v>
      </c>
      <c r="M21" s="29" t="s">
        <v>215</v>
      </c>
    </row>
    <row r="22" spans="4:13">
      <c r="D22" s="53" t="s">
        <v>541</v>
      </c>
      <c r="M22" s="29" t="s">
        <v>216</v>
      </c>
    </row>
    <row r="23" spans="4:13">
      <c r="M23" s="29" t="s">
        <v>217</v>
      </c>
    </row>
    <row r="24" spans="4:13">
      <c r="M24" s="29" t="s">
        <v>218</v>
      </c>
    </row>
    <row r="25" spans="4:13">
      <c r="M25" s="29" t="s">
        <v>219</v>
      </c>
    </row>
    <row r="26" spans="4:13">
      <c r="M26" s="29" t="s">
        <v>220</v>
      </c>
    </row>
    <row r="27" spans="4:13">
      <c r="M27" s="29" t="s">
        <v>221</v>
      </c>
    </row>
    <row r="28" spans="4:13">
      <c r="M28" s="29" t="s">
        <v>222</v>
      </c>
    </row>
    <row r="29" spans="4:13">
      <c r="M29" s="29" t="s">
        <v>223</v>
      </c>
    </row>
    <row r="30" spans="4:13">
      <c r="M30" s="29" t="s">
        <v>224</v>
      </c>
    </row>
    <row r="31" spans="4:13">
      <c r="M31" s="29" t="s">
        <v>225</v>
      </c>
    </row>
    <row r="32" spans="4:13">
      <c r="M32" s="29" t="s">
        <v>226</v>
      </c>
    </row>
    <row r="33" spans="13:13">
      <c r="M33" s="29" t="s">
        <v>227</v>
      </c>
    </row>
    <row r="34" spans="13:13">
      <c r="M34" s="29" t="s">
        <v>228</v>
      </c>
    </row>
    <row r="35" spans="13:13">
      <c r="M35" s="29" t="s">
        <v>229</v>
      </c>
    </row>
    <row r="36" spans="13:13">
      <c r="M36" s="29" t="s">
        <v>230</v>
      </c>
    </row>
    <row r="37" spans="13:13">
      <c r="M37" s="29" t="s">
        <v>231</v>
      </c>
    </row>
    <row r="38" spans="13:13">
      <c r="M38" s="29" t="s">
        <v>232</v>
      </c>
    </row>
    <row r="39" spans="13:13">
      <c r="M39" s="29" t="s">
        <v>233</v>
      </c>
    </row>
    <row r="40" spans="13:13">
      <c r="M40" s="29" t="s">
        <v>234</v>
      </c>
    </row>
    <row r="41" spans="13:13">
      <c r="M41" s="29" t="s">
        <v>235</v>
      </c>
    </row>
    <row r="42" spans="13:13">
      <c r="M42" s="29" t="s">
        <v>236</v>
      </c>
    </row>
    <row r="43" spans="13:13">
      <c r="M43" s="29" t="s">
        <v>237</v>
      </c>
    </row>
    <row r="44" spans="13:13">
      <c r="M44" s="29" t="s">
        <v>238</v>
      </c>
    </row>
    <row r="45" spans="13:13">
      <c r="M45" s="29" t="s">
        <v>239</v>
      </c>
    </row>
    <row r="46" spans="13:13">
      <c r="M46" s="29" t="s">
        <v>240</v>
      </c>
    </row>
    <row r="47" spans="13:13">
      <c r="M47" s="29" t="s">
        <v>241</v>
      </c>
    </row>
    <row r="48" spans="13:13">
      <c r="M48" s="29" t="s">
        <v>242</v>
      </c>
    </row>
    <row r="49" spans="13:13">
      <c r="M49" s="29" t="s">
        <v>243</v>
      </c>
    </row>
    <row r="50" spans="13:13">
      <c r="M50" s="29" t="s">
        <v>244</v>
      </c>
    </row>
    <row r="51" spans="13:13">
      <c r="M51" s="29" t="s">
        <v>245</v>
      </c>
    </row>
    <row r="52" spans="13:13">
      <c r="M52" s="29" t="s">
        <v>246</v>
      </c>
    </row>
    <row r="53" spans="13:13">
      <c r="M53" s="29" t="s">
        <v>247</v>
      </c>
    </row>
    <row r="54" spans="13:13">
      <c r="M54" s="29" t="s">
        <v>248</v>
      </c>
    </row>
    <row r="55" spans="13:13">
      <c r="M55" s="29" t="s">
        <v>249</v>
      </c>
    </row>
    <row r="56" spans="13:13">
      <c r="M56" s="29" t="s">
        <v>250</v>
      </c>
    </row>
    <row r="57" spans="13:13">
      <c r="M57" s="29" t="s">
        <v>251</v>
      </c>
    </row>
    <row r="58" spans="13:13">
      <c r="M58" s="29" t="s">
        <v>252</v>
      </c>
    </row>
    <row r="59" spans="13:13">
      <c r="M59" s="29" t="s">
        <v>253</v>
      </c>
    </row>
    <row r="60" spans="13:13">
      <c r="M60" s="29" t="s">
        <v>254</v>
      </c>
    </row>
    <row r="61" spans="13:13">
      <c r="M61" s="29" t="s">
        <v>255</v>
      </c>
    </row>
    <row r="62" spans="13:13">
      <c r="M62" s="29" t="s">
        <v>256</v>
      </c>
    </row>
    <row r="63" spans="13:13">
      <c r="M63" s="29" t="s">
        <v>257</v>
      </c>
    </row>
    <row r="64" spans="13:13">
      <c r="M64" s="29" t="s">
        <v>258</v>
      </c>
    </row>
    <row r="65" spans="13:13">
      <c r="M65" s="29" t="s">
        <v>259</v>
      </c>
    </row>
    <row r="66" spans="13:13">
      <c r="M66" s="29" t="s">
        <v>260</v>
      </c>
    </row>
    <row r="67" spans="13:13">
      <c r="M67" s="29" t="s">
        <v>261</v>
      </c>
    </row>
    <row r="68" spans="13:13">
      <c r="M68" s="29" t="s">
        <v>262</v>
      </c>
    </row>
    <row r="69" spans="13:13">
      <c r="M69" s="29" t="s">
        <v>263</v>
      </c>
    </row>
    <row r="70" spans="13:13">
      <c r="M70" s="29" t="s">
        <v>264</v>
      </c>
    </row>
    <row r="71" spans="13:13">
      <c r="M71" s="29" t="s">
        <v>265</v>
      </c>
    </row>
    <row r="72" spans="13:13">
      <c r="M72" s="29" t="s">
        <v>266</v>
      </c>
    </row>
    <row r="73" spans="13:13">
      <c r="M73" s="29" t="s">
        <v>267</v>
      </c>
    </row>
    <row r="74" spans="13:13">
      <c r="M74" s="29" t="s">
        <v>268</v>
      </c>
    </row>
    <row r="75" spans="13:13">
      <c r="M75" s="29" t="s">
        <v>269</v>
      </c>
    </row>
    <row r="76" spans="13:13">
      <c r="M76" s="29" t="s">
        <v>270</v>
      </c>
    </row>
    <row r="77" spans="13:13">
      <c r="M77" s="29" t="s">
        <v>271</v>
      </c>
    </row>
    <row r="78" spans="13:13">
      <c r="M78" s="29" t="s">
        <v>272</v>
      </c>
    </row>
    <row r="79" spans="13:13">
      <c r="M79" s="29" t="s">
        <v>273</v>
      </c>
    </row>
    <row r="80" spans="13:13">
      <c r="M80" s="29" t="s">
        <v>274</v>
      </c>
    </row>
    <row r="81" spans="13:13">
      <c r="M81" s="29" t="s">
        <v>275</v>
      </c>
    </row>
    <row r="82" spans="13:13">
      <c r="M82" s="29" t="s">
        <v>276</v>
      </c>
    </row>
    <row r="83" spans="13:13">
      <c r="M83" s="29" t="s">
        <v>277</v>
      </c>
    </row>
    <row r="84" spans="13:13">
      <c r="M84" s="29" t="s">
        <v>278</v>
      </c>
    </row>
    <row r="85" spans="13:13">
      <c r="M85" s="29" t="s">
        <v>279</v>
      </c>
    </row>
    <row r="86" spans="13:13">
      <c r="M86" s="29" t="s">
        <v>280</v>
      </c>
    </row>
    <row r="87" spans="13:13">
      <c r="M87" s="29" t="s">
        <v>281</v>
      </c>
    </row>
    <row r="88" spans="13:13">
      <c r="M88" s="29" t="s">
        <v>282</v>
      </c>
    </row>
    <row r="89" spans="13:13">
      <c r="M89" s="29" t="s">
        <v>283</v>
      </c>
    </row>
    <row r="90" spans="13:13">
      <c r="M90" s="29" t="s">
        <v>284</v>
      </c>
    </row>
    <row r="91" spans="13:13">
      <c r="M91" s="29" t="s">
        <v>285</v>
      </c>
    </row>
    <row r="92" spans="13:13">
      <c r="M92" s="29" t="s">
        <v>286</v>
      </c>
    </row>
    <row r="93" spans="13:13">
      <c r="M93" s="29" t="s">
        <v>287</v>
      </c>
    </row>
    <row r="94" spans="13:13">
      <c r="M94" s="29" t="s">
        <v>288</v>
      </c>
    </row>
    <row r="95" spans="13:13">
      <c r="M95" s="29" t="s">
        <v>289</v>
      </c>
    </row>
    <row r="96" spans="13:13">
      <c r="M96" s="29" t="s">
        <v>290</v>
      </c>
    </row>
    <row r="97" spans="13:13">
      <c r="M97" s="29" t="s">
        <v>291</v>
      </c>
    </row>
    <row r="98" spans="13:13">
      <c r="M98" s="29" t="s">
        <v>292</v>
      </c>
    </row>
    <row r="99" spans="13:13">
      <c r="M99" s="29" t="s">
        <v>293</v>
      </c>
    </row>
    <row r="100" spans="13:13">
      <c r="M100" s="29" t="s">
        <v>294</v>
      </c>
    </row>
    <row r="101" spans="13:13">
      <c r="M101" s="29" t="s">
        <v>295</v>
      </c>
    </row>
    <row r="102" spans="13:13">
      <c r="M102" s="29" t="s">
        <v>296</v>
      </c>
    </row>
    <row r="103" spans="13:13">
      <c r="M103" s="29" t="s">
        <v>297</v>
      </c>
    </row>
    <row r="104" spans="13:13">
      <c r="M104" s="29" t="s">
        <v>298</v>
      </c>
    </row>
    <row r="105" spans="13:13">
      <c r="M105" s="29" t="s">
        <v>299</v>
      </c>
    </row>
    <row r="106" spans="13:13">
      <c r="M106" s="29" t="s">
        <v>300</v>
      </c>
    </row>
    <row r="107" spans="13:13">
      <c r="M107" s="29" t="s">
        <v>301</v>
      </c>
    </row>
    <row r="108" spans="13:13">
      <c r="M108" s="29" t="s">
        <v>302</v>
      </c>
    </row>
    <row r="109" spans="13:13">
      <c r="M109" s="29" t="s">
        <v>303</v>
      </c>
    </row>
    <row r="110" spans="13:13">
      <c r="M110" s="29" t="s">
        <v>304</v>
      </c>
    </row>
    <row r="111" spans="13:13">
      <c r="M111" s="29" t="s">
        <v>305</v>
      </c>
    </row>
    <row r="112" spans="13:13">
      <c r="M112" s="29" t="s">
        <v>306</v>
      </c>
    </row>
    <row r="113" spans="13:13">
      <c r="M113" s="29" t="s">
        <v>307</v>
      </c>
    </row>
    <row r="114" spans="13:13">
      <c r="M114" s="29" t="s">
        <v>308</v>
      </c>
    </row>
    <row r="115" spans="13:13">
      <c r="M115" s="29" t="s">
        <v>309</v>
      </c>
    </row>
    <row r="116" spans="13:13">
      <c r="M116" s="29" t="s">
        <v>310</v>
      </c>
    </row>
    <row r="117" spans="13:13">
      <c r="M117" s="29" t="s">
        <v>311</v>
      </c>
    </row>
    <row r="118" spans="13:13">
      <c r="M118" s="29" t="s">
        <v>312</v>
      </c>
    </row>
    <row r="119" spans="13:13">
      <c r="M119" s="29" t="s">
        <v>313</v>
      </c>
    </row>
    <row r="120" spans="13:13">
      <c r="M120" s="29" t="s">
        <v>314</v>
      </c>
    </row>
    <row r="121" spans="13:13">
      <c r="M121" s="29" t="s">
        <v>315</v>
      </c>
    </row>
    <row r="122" spans="13:13">
      <c r="M122" s="29" t="s">
        <v>316</v>
      </c>
    </row>
    <row r="123" spans="13:13">
      <c r="M123" s="29" t="s">
        <v>317</v>
      </c>
    </row>
    <row r="124" spans="13:13">
      <c r="M124" s="29" t="s">
        <v>318</v>
      </c>
    </row>
    <row r="125" spans="13:13">
      <c r="M125" s="29" t="s">
        <v>319</v>
      </c>
    </row>
    <row r="126" spans="13:13">
      <c r="M126" s="29" t="s">
        <v>320</v>
      </c>
    </row>
    <row r="127" spans="13:13">
      <c r="M127" s="29" t="s">
        <v>321</v>
      </c>
    </row>
    <row r="128" spans="13:13">
      <c r="M128" s="29" t="s">
        <v>322</v>
      </c>
    </row>
    <row r="129" spans="13:13">
      <c r="M129" s="29" t="s">
        <v>323</v>
      </c>
    </row>
    <row r="130" spans="13:13">
      <c r="M130" s="29" t="s">
        <v>324</v>
      </c>
    </row>
    <row r="131" spans="13:13">
      <c r="M131" s="29" t="s">
        <v>325</v>
      </c>
    </row>
    <row r="132" spans="13:13">
      <c r="M132" s="29" t="s">
        <v>326</v>
      </c>
    </row>
    <row r="133" spans="13:13">
      <c r="M133" s="29" t="s">
        <v>327</v>
      </c>
    </row>
    <row r="134" spans="13:13">
      <c r="M134" s="29" t="s">
        <v>328</v>
      </c>
    </row>
    <row r="135" spans="13:13">
      <c r="M135" s="29" t="s">
        <v>329</v>
      </c>
    </row>
    <row r="136" spans="13:13">
      <c r="M136" s="29" t="s">
        <v>330</v>
      </c>
    </row>
    <row r="137" spans="13:13">
      <c r="M137" s="29" t="s">
        <v>331</v>
      </c>
    </row>
    <row r="138" spans="13:13">
      <c r="M138" s="29" t="s">
        <v>332</v>
      </c>
    </row>
    <row r="139" spans="13:13">
      <c r="M139" s="29" t="s">
        <v>333</v>
      </c>
    </row>
    <row r="140" spans="13:13">
      <c r="M140" s="29" t="s">
        <v>334</v>
      </c>
    </row>
    <row r="141" spans="13:13">
      <c r="M141" s="29" t="s">
        <v>335</v>
      </c>
    </row>
    <row r="142" spans="13:13">
      <c r="M142" s="29" t="s">
        <v>336</v>
      </c>
    </row>
    <row r="143" spans="13:13">
      <c r="M143" s="29" t="s">
        <v>337</v>
      </c>
    </row>
    <row r="144" spans="13:13">
      <c r="M144" s="29" t="s">
        <v>338</v>
      </c>
    </row>
    <row r="145" spans="13:13">
      <c r="M145" s="29" t="s">
        <v>339</v>
      </c>
    </row>
    <row r="146" spans="13:13">
      <c r="M146" s="29" t="s">
        <v>340</v>
      </c>
    </row>
    <row r="147" spans="13:13">
      <c r="M147" s="29" t="s">
        <v>341</v>
      </c>
    </row>
    <row r="148" spans="13:13">
      <c r="M148" s="29" t="s">
        <v>342</v>
      </c>
    </row>
    <row r="149" spans="13:13">
      <c r="M149" s="29" t="s">
        <v>343</v>
      </c>
    </row>
    <row r="150" spans="13:13">
      <c r="M150" s="29" t="s">
        <v>344</v>
      </c>
    </row>
    <row r="151" spans="13:13">
      <c r="M151" s="29" t="s">
        <v>345</v>
      </c>
    </row>
    <row r="152" spans="13:13">
      <c r="M152" s="29" t="s">
        <v>346</v>
      </c>
    </row>
    <row r="153" spans="13:13">
      <c r="M153" s="29" t="s">
        <v>347</v>
      </c>
    </row>
    <row r="154" spans="13:13">
      <c r="M154" s="29" t="s">
        <v>348</v>
      </c>
    </row>
    <row r="155" spans="13:13">
      <c r="M155" s="29" t="s">
        <v>349</v>
      </c>
    </row>
    <row r="156" spans="13:13">
      <c r="M156" s="29" t="s">
        <v>350</v>
      </c>
    </row>
    <row r="157" spans="13:13">
      <c r="M157" s="29" t="s">
        <v>351</v>
      </c>
    </row>
    <row r="158" spans="13:13">
      <c r="M158" s="29" t="s">
        <v>352</v>
      </c>
    </row>
    <row r="159" spans="13:13">
      <c r="M159" s="29" t="s">
        <v>353</v>
      </c>
    </row>
    <row r="160" spans="13:13">
      <c r="M160" s="29" t="s">
        <v>354</v>
      </c>
    </row>
    <row r="161" spans="13:13">
      <c r="M161" s="29" t="s">
        <v>355</v>
      </c>
    </row>
    <row r="162" spans="13:13">
      <c r="M162" s="29" t="s">
        <v>356</v>
      </c>
    </row>
    <row r="163" spans="13:13">
      <c r="M163" s="29" t="s">
        <v>357</v>
      </c>
    </row>
    <row r="164" spans="13:13">
      <c r="M164" s="29" t="s">
        <v>358</v>
      </c>
    </row>
    <row r="165" spans="13:13">
      <c r="M165" s="29" t="s">
        <v>359</v>
      </c>
    </row>
    <row r="166" spans="13:13">
      <c r="M166" s="29" t="s">
        <v>360</v>
      </c>
    </row>
    <row r="167" spans="13:13">
      <c r="M167" s="29" t="s">
        <v>361</v>
      </c>
    </row>
    <row r="168" spans="13:13">
      <c r="M168" s="29" t="s">
        <v>362</v>
      </c>
    </row>
    <row r="169" spans="13:13">
      <c r="M169" s="29" t="s">
        <v>363</v>
      </c>
    </row>
    <row r="170" spans="13:13">
      <c r="M170" s="29" t="s">
        <v>364</v>
      </c>
    </row>
    <row r="171" spans="13:13">
      <c r="M171" s="29" t="s">
        <v>365</v>
      </c>
    </row>
    <row r="172" spans="13:13">
      <c r="M172" s="29" t="s">
        <v>366</v>
      </c>
    </row>
    <row r="173" spans="13:13">
      <c r="M173" s="29" t="s">
        <v>367</v>
      </c>
    </row>
    <row r="174" spans="13:13">
      <c r="M174" s="29" t="s">
        <v>368</v>
      </c>
    </row>
    <row r="175" spans="13:13">
      <c r="M175" s="29" t="s">
        <v>369</v>
      </c>
    </row>
    <row r="176" spans="13:13">
      <c r="M176" s="29" t="s">
        <v>370</v>
      </c>
    </row>
    <row r="177" spans="13:13">
      <c r="M177" s="29" t="s">
        <v>371</v>
      </c>
    </row>
    <row r="178" spans="13:13">
      <c r="M178" s="29" t="s">
        <v>372</v>
      </c>
    </row>
    <row r="179" spans="13:13">
      <c r="M179" s="29" t="s">
        <v>373</v>
      </c>
    </row>
    <row r="180" spans="13:13">
      <c r="M180" s="29" t="s">
        <v>3</v>
      </c>
    </row>
    <row r="181" spans="13:13">
      <c r="M181" s="29" t="s">
        <v>374</v>
      </c>
    </row>
    <row r="182" spans="13:13">
      <c r="M182" s="29" t="s">
        <v>375</v>
      </c>
    </row>
    <row r="183" spans="13:13">
      <c r="M183" s="29" t="s">
        <v>376</v>
      </c>
    </row>
    <row r="184" spans="13:13">
      <c r="M184" s="29" t="s">
        <v>377</v>
      </c>
    </row>
    <row r="185" spans="13:13">
      <c r="M185" s="29" t="s">
        <v>378</v>
      </c>
    </row>
    <row r="186" spans="13:13">
      <c r="M186" s="29" t="s">
        <v>379</v>
      </c>
    </row>
    <row r="187" spans="13:13">
      <c r="M187" s="29" t="s">
        <v>380</v>
      </c>
    </row>
    <row r="188" spans="13:13">
      <c r="M188" s="29" t="s">
        <v>381</v>
      </c>
    </row>
    <row r="189" spans="13:13">
      <c r="M189" s="29" t="s">
        <v>382</v>
      </c>
    </row>
    <row r="190" spans="13:13">
      <c r="M190" s="29" t="s">
        <v>383</v>
      </c>
    </row>
    <row r="191" spans="13:13">
      <c r="M191" s="29" t="s">
        <v>384</v>
      </c>
    </row>
    <row r="192" spans="13:13">
      <c r="M192" s="29" t="s">
        <v>385</v>
      </c>
    </row>
    <row r="193" spans="13:13">
      <c r="M193" s="29" t="s">
        <v>386</v>
      </c>
    </row>
    <row r="194" spans="13:13">
      <c r="M194" s="29" t="s">
        <v>387</v>
      </c>
    </row>
    <row r="195" spans="13:13">
      <c r="M195" s="29" t="s">
        <v>388</v>
      </c>
    </row>
    <row r="196" spans="13:13">
      <c r="M196" s="29" t="s">
        <v>389</v>
      </c>
    </row>
    <row r="197" spans="13:13">
      <c r="M197" s="29" t="s">
        <v>390</v>
      </c>
    </row>
    <row r="198" spans="13:13">
      <c r="M198" s="29" t="s">
        <v>391</v>
      </c>
    </row>
    <row r="199" spans="13:13">
      <c r="M199" s="29" t="s">
        <v>392</v>
      </c>
    </row>
    <row r="200" spans="13:13">
      <c r="M200" s="29" t="s">
        <v>393</v>
      </c>
    </row>
    <row r="201" spans="13:13">
      <c r="M201" s="29" t="s">
        <v>394</v>
      </c>
    </row>
    <row r="202" spans="13:13">
      <c r="M202" s="29" t="s">
        <v>395</v>
      </c>
    </row>
    <row r="203" spans="13:13">
      <c r="M203" s="29" t="s">
        <v>396</v>
      </c>
    </row>
    <row r="204" spans="13:13">
      <c r="M204" s="29" t="s">
        <v>397</v>
      </c>
    </row>
    <row r="205" spans="13:13">
      <c r="M205" s="29" t="s">
        <v>398</v>
      </c>
    </row>
    <row r="206" spans="13:13">
      <c r="M206" s="29" t="s">
        <v>399</v>
      </c>
    </row>
    <row r="207" spans="13:13">
      <c r="M207" s="29" t="s">
        <v>400</v>
      </c>
    </row>
    <row r="208" spans="13:13">
      <c r="M208" s="29" t="s">
        <v>401</v>
      </c>
    </row>
    <row r="209" spans="13:13">
      <c r="M209" s="29" t="s">
        <v>402</v>
      </c>
    </row>
    <row r="210" spans="13:13">
      <c r="M210" s="29" t="s">
        <v>403</v>
      </c>
    </row>
    <row r="211" spans="13:13">
      <c r="M211" s="29" t="s">
        <v>404</v>
      </c>
    </row>
    <row r="212" spans="13:13">
      <c r="M212" s="29" t="s">
        <v>405</v>
      </c>
    </row>
    <row r="213" spans="13:13">
      <c r="M213" s="29" t="s">
        <v>406</v>
      </c>
    </row>
    <row r="214" spans="13:13">
      <c r="M214" s="29" t="s">
        <v>407</v>
      </c>
    </row>
    <row r="215" spans="13:13">
      <c r="M215" s="29" t="s">
        <v>408</v>
      </c>
    </row>
    <row r="216" spans="13:13">
      <c r="M216" s="29" t="s">
        <v>409</v>
      </c>
    </row>
    <row r="217" spans="13:13">
      <c r="M217" s="29" t="s">
        <v>410</v>
      </c>
    </row>
    <row r="218" spans="13:13">
      <c r="M218" s="29" t="s">
        <v>411</v>
      </c>
    </row>
    <row r="219" spans="13:13">
      <c r="M219" s="29" t="s">
        <v>412</v>
      </c>
    </row>
    <row r="220" spans="13:13">
      <c r="M220" s="29" t="s">
        <v>413</v>
      </c>
    </row>
    <row r="221" spans="13:13">
      <c r="M221" s="29" t="s">
        <v>414</v>
      </c>
    </row>
    <row r="222" spans="13:13">
      <c r="M222" s="29" t="s">
        <v>415</v>
      </c>
    </row>
    <row r="223" spans="13:13">
      <c r="M223" s="29" t="s">
        <v>416</v>
      </c>
    </row>
    <row r="224" spans="13:13">
      <c r="M224" s="29" t="s">
        <v>417</v>
      </c>
    </row>
    <row r="225" spans="13:13">
      <c r="M225" s="29" t="s">
        <v>418</v>
      </c>
    </row>
    <row r="226" spans="13:13">
      <c r="M226" s="29" t="s">
        <v>419</v>
      </c>
    </row>
    <row r="227" spans="13:13">
      <c r="M227" s="29" t="s">
        <v>420</v>
      </c>
    </row>
    <row r="228" spans="13:13">
      <c r="M228" s="29" t="s">
        <v>421</v>
      </c>
    </row>
    <row r="229" spans="13:13">
      <c r="M229" s="29" t="s">
        <v>422</v>
      </c>
    </row>
    <row r="230" spans="13:13">
      <c r="M230" s="29" t="s">
        <v>423</v>
      </c>
    </row>
    <row r="231" spans="13:13">
      <c r="M231" s="29" t="s">
        <v>424</v>
      </c>
    </row>
    <row r="232" spans="13:13">
      <c r="M232" s="29" t="s">
        <v>425</v>
      </c>
    </row>
    <row r="233" spans="13:13">
      <c r="M233" s="29" t="s">
        <v>426</v>
      </c>
    </row>
    <row r="234" spans="13:13">
      <c r="M234" s="29" t="s">
        <v>427</v>
      </c>
    </row>
    <row r="235" spans="13:13">
      <c r="M235" s="29" t="s">
        <v>428</v>
      </c>
    </row>
    <row r="236" spans="13:13">
      <c r="M236" s="29" t="s">
        <v>429</v>
      </c>
    </row>
    <row r="237" spans="13:13">
      <c r="M237" s="29" t="s">
        <v>430</v>
      </c>
    </row>
    <row r="238" spans="13:13">
      <c r="M238" s="29" t="s">
        <v>431</v>
      </c>
    </row>
    <row r="239" spans="13:13">
      <c r="M239" s="29" t="s">
        <v>432</v>
      </c>
    </row>
    <row r="240" spans="13:13">
      <c r="M240" s="29" t="s">
        <v>433</v>
      </c>
    </row>
    <row r="241" spans="13:13">
      <c r="M241" s="29" t="s">
        <v>434</v>
      </c>
    </row>
    <row r="242" spans="13:13">
      <c r="M242" s="29" t="s">
        <v>435</v>
      </c>
    </row>
    <row r="243" spans="13:13">
      <c r="M243" s="29" t="s">
        <v>436</v>
      </c>
    </row>
    <row r="244" spans="13:13">
      <c r="M244" s="29" t="s">
        <v>437</v>
      </c>
    </row>
    <row r="245" spans="13:13">
      <c r="M245" s="29" t="s">
        <v>438</v>
      </c>
    </row>
    <row r="246" spans="13:13">
      <c r="M246" s="29" t="s">
        <v>439</v>
      </c>
    </row>
    <row r="247" spans="13:13">
      <c r="M247" s="29" t="s">
        <v>440</v>
      </c>
    </row>
    <row r="248" spans="13:13">
      <c r="M248" s="29" t="s">
        <v>441</v>
      </c>
    </row>
    <row r="249" spans="13:13">
      <c r="M249" s="29" t="s">
        <v>442</v>
      </c>
    </row>
    <row r="250" spans="13:13">
      <c r="M250" s="29" t="s">
        <v>443</v>
      </c>
    </row>
    <row r="251" spans="13:13">
      <c r="M251" s="29" t="s">
        <v>444</v>
      </c>
    </row>
    <row r="252" spans="13:13">
      <c r="M252" s="29" t="s">
        <v>445</v>
      </c>
    </row>
    <row r="253" spans="13:13">
      <c r="M253" s="29" t="s">
        <v>446</v>
      </c>
    </row>
  </sheetData>
  <sheetProtection insertRows="0"/>
  <phoneticPr fontId="5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6584-EDB4-4362-B71C-2A64F6182D81}">
  <dimension ref="A1:A2"/>
  <sheetViews>
    <sheetView workbookViewId="0">
      <selection activeCell="K31" sqref="K31"/>
    </sheetView>
  </sheetViews>
  <sheetFormatPr defaultRowHeight="16.5"/>
  <cols>
    <col min="1" max="1" width="18" style="49" customWidth="1"/>
    <col min="2" max="16384" width="9.140625" style="49"/>
  </cols>
  <sheetData>
    <row r="1" spans="1:1">
      <c r="A1" s="49" t="s">
        <v>486</v>
      </c>
    </row>
    <row r="2" spans="1:1">
      <c r="A2" s="49" t="str" cm="1">
        <f t="array" ref="A2">IFERROR(_xlfn.TOCOL(_xlfn._xlws.FILTER(용도프로필!$C$2:$ZZ$2,용도프로필!$C$2:$ZZ$2&lt;&gt;""),1),"")</f>
        <v/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EA1-860E-49FB-B8F4-E833D81AF199}">
  <dimension ref="A1:F253"/>
  <sheetViews>
    <sheetView workbookViewId="0">
      <selection activeCell="H5" sqref="H5"/>
    </sheetView>
  </sheetViews>
  <sheetFormatPr defaultRowHeight="12.75"/>
  <cols>
    <col min="1" max="1" width="29.140625" style="4" bestFit="1" customWidth="1"/>
    <col min="2" max="6" width="9.7109375" style="4" bestFit="1" customWidth="1"/>
  </cols>
  <sheetData>
    <row r="1" spans="1:6" ht="16.5" customHeight="1">
      <c r="A1" s="36" t="s">
        <v>487</v>
      </c>
      <c r="B1" s="50" t="s">
        <v>488</v>
      </c>
      <c r="C1" s="50" t="s">
        <v>489</v>
      </c>
      <c r="D1" s="50" t="s">
        <v>490</v>
      </c>
      <c r="E1" s="50" t="s">
        <v>491</v>
      </c>
      <c r="F1" s="50" t="s">
        <v>492</v>
      </c>
    </row>
    <row r="2" spans="1:6" ht="16.5" customHeight="1">
      <c r="A2" s="4" t="s">
        <v>360</v>
      </c>
      <c r="B2" s="4" t="s">
        <v>493</v>
      </c>
      <c r="C2" s="4" t="s">
        <v>494</v>
      </c>
      <c r="D2" s="4" t="s">
        <v>494</v>
      </c>
      <c r="E2" s="4" t="s">
        <v>494</v>
      </c>
      <c r="F2" s="4" t="s">
        <v>494</v>
      </c>
    </row>
    <row r="3" spans="1:6" ht="16.5" customHeight="1">
      <c r="A3" s="4" t="s">
        <v>361</v>
      </c>
      <c r="B3" s="4" t="s">
        <v>493</v>
      </c>
      <c r="C3" s="4" t="s">
        <v>494</v>
      </c>
      <c r="D3" s="4" t="s">
        <v>494</v>
      </c>
      <c r="E3" s="4" t="s">
        <v>494</v>
      </c>
      <c r="F3" s="4" t="s">
        <v>494</v>
      </c>
    </row>
    <row r="4" spans="1:6" ht="16.5" customHeight="1">
      <c r="A4" s="4" t="s">
        <v>358</v>
      </c>
      <c r="B4" s="4" t="s">
        <v>493</v>
      </c>
      <c r="C4" s="4" t="s">
        <v>494</v>
      </c>
      <c r="D4" s="4" t="s">
        <v>494</v>
      </c>
      <c r="E4" s="4" t="s">
        <v>494</v>
      </c>
      <c r="F4" s="4" t="s">
        <v>494</v>
      </c>
    </row>
    <row r="5" spans="1:6" ht="16.5" customHeight="1">
      <c r="A5" s="4" t="s">
        <v>353</v>
      </c>
      <c r="B5" s="4" t="s">
        <v>493</v>
      </c>
      <c r="C5" s="4" t="s">
        <v>494</v>
      </c>
      <c r="D5" s="4" t="s">
        <v>494</v>
      </c>
      <c r="E5" s="4" t="s">
        <v>494</v>
      </c>
      <c r="F5" s="4" t="s">
        <v>494</v>
      </c>
    </row>
    <row r="6" spans="1:6" ht="16.5" customHeight="1">
      <c r="A6" s="4" t="s">
        <v>343</v>
      </c>
      <c r="B6" s="4" t="s">
        <v>493</v>
      </c>
      <c r="C6" s="4" t="s">
        <v>494</v>
      </c>
      <c r="D6" s="4" t="s">
        <v>494</v>
      </c>
      <c r="E6" s="4" t="s">
        <v>494</v>
      </c>
      <c r="F6" s="4" t="s">
        <v>494</v>
      </c>
    </row>
    <row r="7" spans="1:6" ht="16.5" customHeight="1">
      <c r="A7" s="4" t="s">
        <v>348</v>
      </c>
      <c r="B7" s="4" t="s">
        <v>493</v>
      </c>
      <c r="C7" s="4" t="s">
        <v>494</v>
      </c>
      <c r="D7" s="4" t="s">
        <v>494</v>
      </c>
      <c r="E7" s="4" t="s">
        <v>494</v>
      </c>
      <c r="F7" s="4" t="s">
        <v>494</v>
      </c>
    </row>
    <row r="8" spans="1:6" ht="16.5" customHeight="1">
      <c r="A8" s="4" t="s">
        <v>362</v>
      </c>
      <c r="B8" s="4" t="s">
        <v>493</v>
      </c>
      <c r="C8" s="4" t="s">
        <v>494</v>
      </c>
      <c r="D8" s="4" t="s">
        <v>494</v>
      </c>
      <c r="E8" s="4" t="s">
        <v>494</v>
      </c>
      <c r="F8" s="4" t="s">
        <v>494</v>
      </c>
    </row>
    <row r="9" spans="1:6" ht="16.5" customHeight="1">
      <c r="A9" s="4" t="s">
        <v>354</v>
      </c>
      <c r="B9" s="4" t="s">
        <v>493</v>
      </c>
      <c r="C9" s="4" t="s">
        <v>494</v>
      </c>
      <c r="D9" s="4" t="s">
        <v>494</v>
      </c>
      <c r="E9" s="4" t="s">
        <v>494</v>
      </c>
      <c r="F9" s="4" t="s">
        <v>494</v>
      </c>
    </row>
    <row r="10" spans="1:6" ht="16.5" customHeight="1">
      <c r="A10" s="4" t="s">
        <v>340</v>
      </c>
      <c r="B10" s="4" t="s">
        <v>493</v>
      </c>
      <c r="C10" s="4" t="s">
        <v>494</v>
      </c>
      <c r="D10" s="4" t="s">
        <v>494</v>
      </c>
      <c r="E10" s="4" t="s">
        <v>494</v>
      </c>
      <c r="F10" s="4" t="s">
        <v>494</v>
      </c>
    </row>
    <row r="11" spans="1:6" ht="16.5" customHeight="1">
      <c r="A11" s="4" t="s">
        <v>347</v>
      </c>
      <c r="B11" s="4" t="s">
        <v>493</v>
      </c>
      <c r="C11" s="4" t="s">
        <v>494</v>
      </c>
      <c r="D11" s="4" t="s">
        <v>494</v>
      </c>
      <c r="E11" s="4" t="s">
        <v>494</v>
      </c>
      <c r="F11" s="4" t="s">
        <v>494</v>
      </c>
    </row>
    <row r="12" spans="1:6" ht="16.5" customHeight="1">
      <c r="A12" s="4" t="s">
        <v>346</v>
      </c>
      <c r="B12" s="4" t="s">
        <v>493</v>
      </c>
      <c r="C12" s="4" t="s">
        <v>494</v>
      </c>
      <c r="D12" s="4" t="s">
        <v>494</v>
      </c>
      <c r="E12" s="4" t="s">
        <v>494</v>
      </c>
      <c r="F12" s="4" t="s">
        <v>494</v>
      </c>
    </row>
    <row r="13" spans="1:6" ht="16.5" customHeight="1">
      <c r="A13" s="4" t="s">
        <v>359</v>
      </c>
      <c r="B13" s="4" t="s">
        <v>493</v>
      </c>
      <c r="C13" s="4" t="s">
        <v>494</v>
      </c>
      <c r="D13" s="4" t="s">
        <v>494</v>
      </c>
      <c r="E13" s="4" t="s">
        <v>494</v>
      </c>
      <c r="F13" s="4" t="s">
        <v>494</v>
      </c>
    </row>
    <row r="14" spans="1:6" ht="16.5" customHeight="1">
      <c r="A14" s="4" t="s">
        <v>351</v>
      </c>
      <c r="B14" s="4" t="s">
        <v>493</v>
      </c>
      <c r="C14" s="4" t="s">
        <v>494</v>
      </c>
      <c r="D14" s="4" t="s">
        <v>494</v>
      </c>
      <c r="E14" s="4" t="s">
        <v>494</v>
      </c>
      <c r="F14" s="4" t="s">
        <v>494</v>
      </c>
    </row>
    <row r="15" spans="1:6" ht="16.5" customHeight="1">
      <c r="A15" s="4" t="s">
        <v>350</v>
      </c>
      <c r="B15" s="4" t="s">
        <v>493</v>
      </c>
      <c r="C15" s="4" t="s">
        <v>494</v>
      </c>
      <c r="D15" s="4" t="s">
        <v>494</v>
      </c>
      <c r="E15" s="4" t="s">
        <v>494</v>
      </c>
      <c r="F15" s="4" t="s">
        <v>494</v>
      </c>
    </row>
    <row r="16" spans="1:6" ht="16.5" customHeight="1">
      <c r="A16" s="4" t="s">
        <v>356</v>
      </c>
      <c r="B16" s="4" t="s">
        <v>493</v>
      </c>
      <c r="C16" s="4" t="s">
        <v>494</v>
      </c>
      <c r="D16" s="4" t="s">
        <v>494</v>
      </c>
      <c r="E16" s="4" t="s">
        <v>494</v>
      </c>
      <c r="F16" s="4" t="s">
        <v>494</v>
      </c>
    </row>
    <row r="17" spans="1:6" ht="16.5" customHeight="1">
      <c r="A17" s="4" t="s">
        <v>341</v>
      </c>
      <c r="B17" s="4" t="s">
        <v>493</v>
      </c>
      <c r="C17" s="4" t="s">
        <v>494</v>
      </c>
      <c r="D17" s="4" t="s">
        <v>494</v>
      </c>
      <c r="E17" s="4" t="s">
        <v>494</v>
      </c>
      <c r="F17" s="4" t="s">
        <v>494</v>
      </c>
    </row>
    <row r="18" spans="1:6" ht="16.5" customHeight="1">
      <c r="A18" s="4" t="s">
        <v>344</v>
      </c>
      <c r="B18" s="4" t="s">
        <v>493</v>
      </c>
      <c r="C18" s="4" t="s">
        <v>494</v>
      </c>
      <c r="D18" s="4" t="s">
        <v>494</v>
      </c>
      <c r="E18" s="4" t="s">
        <v>494</v>
      </c>
      <c r="F18" s="4" t="s">
        <v>494</v>
      </c>
    </row>
    <row r="19" spans="1:6" ht="16.5" customHeight="1">
      <c r="A19" s="4" t="s">
        <v>345</v>
      </c>
      <c r="B19" s="4" t="s">
        <v>493</v>
      </c>
      <c r="C19" s="4" t="s">
        <v>494</v>
      </c>
      <c r="D19" s="4" t="s">
        <v>494</v>
      </c>
      <c r="E19" s="4" t="s">
        <v>494</v>
      </c>
      <c r="F19" s="4" t="s">
        <v>494</v>
      </c>
    </row>
    <row r="20" spans="1:6" ht="16.5" customHeight="1">
      <c r="A20" s="4" t="s">
        <v>357</v>
      </c>
      <c r="B20" s="4" t="s">
        <v>493</v>
      </c>
      <c r="C20" s="4" t="s">
        <v>494</v>
      </c>
      <c r="D20" s="4" t="s">
        <v>494</v>
      </c>
      <c r="E20" s="4" t="s">
        <v>494</v>
      </c>
      <c r="F20" s="4" t="s">
        <v>494</v>
      </c>
    </row>
    <row r="21" spans="1:6" ht="16.5" customHeight="1">
      <c r="A21" s="4" t="s">
        <v>349</v>
      </c>
      <c r="B21" s="4" t="s">
        <v>493</v>
      </c>
      <c r="C21" s="4" t="s">
        <v>494</v>
      </c>
      <c r="D21" s="4" t="s">
        <v>494</v>
      </c>
      <c r="E21" s="4" t="s">
        <v>494</v>
      </c>
      <c r="F21" s="4" t="s">
        <v>494</v>
      </c>
    </row>
    <row r="22" spans="1:6" ht="16.5" customHeight="1">
      <c r="A22" s="4" t="s">
        <v>342</v>
      </c>
      <c r="B22" s="4" t="s">
        <v>493</v>
      </c>
      <c r="C22" s="4" t="s">
        <v>494</v>
      </c>
      <c r="D22" s="4" t="s">
        <v>494</v>
      </c>
      <c r="E22" s="4" t="s">
        <v>494</v>
      </c>
      <c r="F22" s="4" t="s">
        <v>494</v>
      </c>
    </row>
    <row r="23" spans="1:6" ht="16.5" customHeight="1">
      <c r="A23" s="4" t="s">
        <v>352</v>
      </c>
      <c r="B23" s="4" t="s">
        <v>493</v>
      </c>
      <c r="C23" s="4" t="s">
        <v>494</v>
      </c>
      <c r="D23" s="4" t="s">
        <v>494</v>
      </c>
      <c r="E23" s="4" t="s">
        <v>494</v>
      </c>
      <c r="F23" s="4" t="s">
        <v>494</v>
      </c>
    </row>
    <row r="24" spans="1:6" ht="16.5" customHeight="1">
      <c r="A24" s="4" t="s">
        <v>338</v>
      </c>
      <c r="B24" s="4" t="s">
        <v>493</v>
      </c>
      <c r="C24" s="4" t="s">
        <v>494</v>
      </c>
      <c r="D24" s="4" t="s">
        <v>494</v>
      </c>
      <c r="E24" s="4" t="s">
        <v>494</v>
      </c>
      <c r="F24" s="4" t="s">
        <v>494</v>
      </c>
    </row>
    <row r="25" spans="1:6" ht="16.5" customHeight="1">
      <c r="A25" s="4" t="s">
        <v>355</v>
      </c>
      <c r="B25" s="4" t="s">
        <v>493</v>
      </c>
      <c r="C25" s="4" t="s">
        <v>494</v>
      </c>
      <c r="D25" s="4" t="s">
        <v>494</v>
      </c>
      <c r="E25" s="4" t="s">
        <v>494</v>
      </c>
      <c r="F25" s="4" t="s">
        <v>494</v>
      </c>
    </row>
    <row r="26" spans="1:6" ht="16.5" customHeight="1">
      <c r="A26" s="4" t="s">
        <v>339</v>
      </c>
      <c r="B26" s="4" t="s">
        <v>493</v>
      </c>
      <c r="C26" s="4" t="s">
        <v>494</v>
      </c>
      <c r="D26" s="4" t="s">
        <v>494</v>
      </c>
      <c r="E26" s="4" t="s">
        <v>494</v>
      </c>
      <c r="F26" s="4" t="s">
        <v>494</v>
      </c>
    </row>
    <row r="27" spans="1:6" ht="16.5" customHeight="1">
      <c r="A27" s="4" t="s">
        <v>336</v>
      </c>
      <c r="B27" s="4" t="s">
        <v>495</v>
      </c>
      <c r="C27" s="4" t="s">
        <v>495</v>
      </c>
      <c r="D27" s="4" t="s">
        <v>495</v>
      </c>
      <c r="E27" s="4" t="s">
        <v>494</v>
      </c>
      <c r="F27" s="4" t="s">
        <v>494</v>
      </c>
    </row>
    <row r="28" spans="1:6" ht="16.5" customHeight="1">
      <c r="A28" s="4" t="s">
        <v>332</v>
      </c>
      <c r="B28" s="4" t="s">
        <v>495</v>
      </c>
      <c r="C28" s="4" t="s">
        <v>495</v>
      </c>
      <c r="D28" s="4" t="s">
        <v>495</v>
      </c>
      <c r="E28" s="4" t="s">
        <v>494</v>
      </c>
      <c r="F28" s="4" t="s">
        <v>494</v>
      </c>
    </row>
    <row r="29" spans="1:6" ht="16.5" customHeight="1">
      <c r="A29" s="4" t="s">
        <v>326</v>
      </c>
      <c r="B29" s="4" t="s">
        <v>495</v>
      </c>
      <c r="C29" s="4" t="s">
        <v>495</v>
      </c>
      <c r="D29" s="4" t="s">
        <v>495</v>
      </c>
      <c r="E29" s="4" t="s">
        <v>494</v>
      </c>
      <c r="F29" s="4" t="s">
        <v>494</v>
      </c>
    </row>
    <row r="30" spans="1:6" ht="16.5" customHeight="1">
      <c r="A30" s="4" t="s">
        <v>335</v>
      </c>
      <c r="B30" s="4" t="s">
        <v>495</v>
      </c>
      <c r="C30" s="4" t="s">
        <v>495</v>
      </c>
      <c r="D30" s="4" t="s">
        <v>495</v>
      </c>
      <c r="E30" s="4" t="s">
        <v>494</v>
      </c>
      <c r="F30" s="4" t="s">
        <v>494</v>
      </c>
    </row>
    <row r="31" spans="1:6" ht="16.5" customHeight="1">
      <c r="A31" s="4" t="s">
        <v>328</v>
      </c>
      <c r="B31" s="4" t="s">
        <v>495</v>
      </c>
      <c r="C31" s="4" t="s">
        <v>495</v>
      </c>
      <c r="D31" s="4" t="s">
        <v>495</v>
      </c>
      <c r="E31" s="4" t="s">
        <v>494</v>
      </c>
      <c r="F31" s="4" t="s">
        <v>494</v>
      </c>
    </row>
    <row r="32" spans="1:6" ht="16.5" customHeight="1">
      <c r="A32" s="4" t="s">
        <v>327</v>
      </c>
      <c r="B32" s="4" t="s">
        <v>495</v>
      </c>
      <c r="C32" s="4" t="s">
        <v>495</v>
      </c>
      <c r="D32" s="4" t="s">
        <v>495</v>
      </c>
      <c r="E32" s="4" t="s">
        <v>494</v>
      </c>
      <c r="F32" s="4" t="s">
        <v>494</v>
      </c>
    </row>
    <row r="33" spans="1:6" ht="16.5" customHeight="1">
      <c r="A33" s="4" t="s">
        <v>325</v>
      </c>
      <c r="B33" s="4" t="s">
        <v>495</v>
      </c>
      <c r="C33" s="4" t="s">
        <v>495</v>
      </c>
      <c r="D33" s="4" t="s">
        <v>495</v>
      </c>
      <c r="E33" s="4" t="s">
        <v>494</v>
      </c>
      <c r="F33" s="4" t="s">
        <v>494</v>
      </c>
    </row>
    <row r="34" spans="1:6" ht="16.5" customHeight="1">
      <c r="A34" s="4" t="s">
        <v>329</v>
      </c>
      <c r="B34" s="4" t="s">
        <v>495</v>
      </c>
      <c r="C34" s="4" t="s">
        <v>495</v>
      </c>
      <c r="D34" s="4" t="s">
        <v>495</v>
      </c>
      <c r="E34" s="4" t="s">
        <v>494</v>
      </c>
      <c r="F34" s="4" t="s">
        <v>494</v>
      </c>
    </row>
    <row r="35" spans="1:6" ht="16.5" customHeight="1">
      <c r="A35" s="4" t="s">
        <v>337</v>
      </c>
      <c r="B35" s="4" t="s">
        <v>495</v>
      </c>
      <c r="C35" s="4" t="s">
        <v>495</v>
      </c>
      <c r="D35" s="4" t="s">
        <v>495</v>
      </c>
      <c r="E35" s="4" t="s">
        <v>494</v>
      </c>
      <c r="F35" s="4" t="s">
        <v>494</v>
      </c>
    </row>
    <row r="36" spans="1:6" ht="16.5" customHeight="1">
      <c r="A36" s="4" t="s">
        <v>331</v>
      </c>
      <c r="B36" s="4" t="s">
        <v>495</v>
      </c>
      <c r="C36" s="4" t="s">
        <v>495</v>
      </c>
      <c r="D36" s="4" t="s">
        <v>495</v>
      </c>
      <c r="E36" s="4" t="s">
        <v>494</v>
      </c>
      <c r="F36" s="4" t="s">
        <v>494</v>
      </c>
    </row>
    <row r="37" spans="1:6" ht="16.5" customHeight="1">
      <c r="A37" s="4" t="s">
        <v>323</v>
      </c>
      <c r="B37" s="4" t="s">
        <v>495</v>
      </c>
      <c r="C37" s="4" t="s">
        <v>495</v>
      </c>
      <c r="D37" s="4" t="s">
        <v>495</v>
      </c>
      <c r="E37" s="4" t="s">
        <v>494</v>
      </c>
      <c r="F37" s="4" t="s">
        <v>494</v>
      </c>
    </row>
    <row r="38" spans="1:6" ht="16.5" customHeight="1">
      <c r="A38" s="4" t="s">
        <v>322</v>
      </c>
      <c r="B38" s="4" t="s">
        <v>495</v>
      </c>
      <c r="C38" s="4" t="s">
        <v>495</v>
      </c>
      <c r="D38" s="4" t="s">
        <v>495</v>
      </c>
      <c r="E38" s="4" t="s">
        <v>494</v>
      </c>
      <c r="F38" s="4" t="s">
        <v>494</v>
      </c>
    </row>
    <row r="39" spans="1:6" ht="16.5" customHeight="1">
      <c r="A39" s="4" t="s">
        <v>334</v>
      </c>
      <c r="B39" s="4" t="s">
        <v>495</v>
      </c>
      <c r="C39" s="4" t="s">
        <v>495</v>
      </c>
      <c r="D39" s="4" t="s">
        <v>495</v>
      </c>
      <c r="E39" s="4" t="s">
        <v>494</v>
      </c>
      <c r="F39" s="4" t="s">
        <v>494</v>
      </c>
    </row>
    <row r="40" spans="1:6" ht="16.5" customHeight="1">
      <c r="A40" s="4" t="s">
        <v>333</v>
      </c>
      <c r="B40" s="4" t="s">
        <v>495</v>
      </c>
      <c r="C40" s="4" t="s">
        <v>495</v>
      </c>
      <c r="D40" s="4" t="s">
        <v>495</v>
      </c>
      <c r="E40" s="4" t="s">
        <v>494</v>
      </c>
      <c r="F40" s="4" t="s">
        <v>494</v>
      </c>
    </row>
    <row r="41" spans="1:6" ht="16.5" customHeight="1">
      <c r="A41" s="4" t="s">
        <v>330</v>
      </c>
      <c r="B41" s="4" t="s">
        <v>495</v>
      </c>
      <c r="C41" s="4" t="s">
        <v>495</v>
      </c>
      <c r="D41" s="4" t="s">
        <v>495</v>
      </c>
      <c r="E41" s="4" t="s">
        <v>494</v>
      </c>
      <c r="F41" s="4" t="s">
        <v>494</v>
      </c>
    </row>
    <row r="42" spans="1:6" ht="16.5" customHeight="1">
      <c r="A42" s="4" t="s">
        <v>324</v>
      </c>
      <c r="B42" s="4" t="s">
        <v>495</v>
      </c>
      <c r="C42" s="4" t="s">
        <v>495</v>
      </c>
      <c r="D42" s="4" t="s">
        <v>495</v>
      </c>
      <c r="E42" s="4" t="s">
        <v>494</v>
      </c>
      <c r="F42" s="4" t="s">
        <v>494</v>
      </c>
    </row>
    <row r="43" spans="1:6" ht="16.5" customHeight="1">
      <c r="A43" s="4" t="s">
        <v>308</v>
      </c>
      <c r="B43" s="4" t="s">
        <v>493</v>
      </c>
      <c r="C43" s="4" t="s">
        <v>495</v>
      </c>
      <c r="D43" s="4" t="s">
        <v>495</v>
      </c>
      <c r="E43" s="4" t="s">
        <v>494</v>
      </c>
      <c r="F43" s="4" t="s">
        <v>494</v>
      </c>
    </row>
    <row r="44" spans="1:6" ht="16.5" customHeight="1">
      <c r="A44" s="4" t="s">
        <v>316</v>
      </c>
      <c r="B44" s="4" t="s">
        <v>495</v>
      </c>
      <c r="C44" s="4" t="s">
        <v>495</v>
      </c>
      <c r="D44" s="4" t="s">
        <v>495</v>
      </c>
      <c r="E44" s="4" t="s">
        <v>494</v>
      </c>
      <c r="F44" s="4" t="s">
        <v>494</v>
      </c>
    </row>
    <row r="45" spans="1:6" ht="16.5" customHeight="1">
      <c r="A45" s="4" t="s">
        <v>312</v>
      </c>
      <c r="B45" s="4" t="s">
        <v>495</v>
      </c>
      <c r="C45" s="4" t="s">
        <v>495</v>
      </c>
      <c r="D45" s="4" t="s">
        <v>495</v>
      </c>
      <c r="E45" s="4" t="s">
        <v>494</v>
      </c>
      <c r="F45" s="4" t="s">
        <v>494</v>
      </c>
    </row>
    <row r="46" spans="1:6" ht="16.5" customHeight="1">
      <c r="A46" s="4" t="s">
        <v>314</v>
      </c>
      <c r="B46" s="4" t="s">
        <v>495</v>
      </c>
      <c r="C46" s="4" t="s">
        <v>495</v>
      </c>
      <c r="D46" s="4" t="s">
        <v>495</v>
      </c>
      <c r="E46" s="4" t="s">
        <v>494</v>
      </c>
      <c r="F46" s="4" t="s">
        <v>494</v>
      </c>
    </row>
    <row r="47" spans="1:6" ht="16.5" customHeight="1">
      <c r="A47" s="4" t="s">
        <v>309</v>
      </c>
      <c r="B47" s="4" t="s">
        <v>495</v>
      </c>
      <c r="C47" s="4" t="s">
        <v>495</v>
      </c>
      <c r="D47" s="4" t="s">
        <v>495</v>
      </c>
      <c r="E47" s="4" t="s">
        <v>494</v>
      </c>
      <c r="F47" s="4" t="s">
        <v>494</v>
      </c>
    </row>
    <row r="48" spans="1:6" ht="16.5" customHeight="1">
      <c r="A48" s="4" t="s">
        <v>313</v>
      </c>
      <c r="B48" s="4" t="s">
        <v>495</v>
      </c>
      <c r="C48" s="4" t="s">
        <v>495</v>
      </c>
      <c r="D48" s="4" t="s">
        <v>495</v>
      </c>
      <c r="E48" s="4" t="s">
        <v>494</v>
      </c>
      <c r="F48" s="4" t="s">
        <v>494</v>
      </c>
    </row>
    <row r="49" spans="1:6" ht="16.5" customHeight="1">
      <c r="A49" s="4" t="s">
        <v>315</v>
      </c>
      <c r="B49" s="4" t="s">
        <v>495</v>
      </c>
      <c r="C49" s="4" t="s">
        <v>495</v>
      </c>
      <c r="D49" s="4" t="s">
        <v>495</v>
      </c>
      <c r="E49" s="4" t="s">
        <v>494</v>
      </c>
      <c r="F49" s="4" t="s">
        <v>494</v>
      </c>
    </row>
    <row r="50" spans="1:6" ht="16.5" customHeight="1">
      <c r="A50" s="4" t="s">
        <v>310</v>
      </c>
      <c r="B50" s="4" t="s">
        <v>495</v>
      </c>
      <c r="C50" s="4" t="s">
        <v>495</v>
      </c>
      <c r="D50" s="4" t="s">
        <v>495</v>
      </c>
      <c r="E50" s="4" t="s">
        <v>494</v>
      </c>
      <c r="F50" s="4" t="s">
        <v>494</v>
      </c>
    </row>
    <row r="51" spans="1:6" ht="16.5" customHeight="1">
      <c r="A51" s="4" t="s">
        <v>311</v>
      </c>
      <c r="B51" s="4" t="s">
        <v>495</v>
      </c>
      <c r="C51" s="4" t="s">
        <v>495</v>
      </c>
      <c r="D51" s="4" t="s">
        <v>495</v>
      </c>
      <c r="E51" s="4" t="s">
        <v>494</v>
      </c>
      <c r="F51" s="4" t="s">
        <v>494</v>
      </c>
    </row>
    <row r="52" spans="1:6" ht="16.5" customHeight="1">
      <c r="A52" s="4" t="s">
        <v>377</v>
      </c>
      <c r="B52" s="4" t="s">
        <v>493</v>
      </c>
      <c r="C52" s="4" t="s">
        <v>494</v>
      </c>
      <c r="D52" s="4" t="s">
        <v>494</v>
      </c>
      <c r="E52" s="4" t="s">
        <v>494</v>
      </c>
      <c r="F52" s="4" t="s">
        <v>494</v>
      </c>
    </row>
    <row r="53" spans="1:6" ht="16.5" customHeight="1">
      <c r="A53" s="4" t="s">
        <v>372</v>
      </c>
      <c r="B53" s="4" t="s">
        <v>493</v>
      </c>
      <c r="C53" s="4" t="s">
        <v>494</v>
      </c>
      <c r="D53" s="4" t="s">
        <v>494</v>
      </c>
      <c r="E53" s="4" t="s">
        <v>494</v>
      </c>
      <c r="F53" s="4" t="s">
        <v>494</v>
      </c>
    </row>
    <row r="54" spans="1:6" ht="16.5" customHeight="1">
      <c r="A54" s="4" t="s">
        <v>375</v>
      </c>
      <c r="B54" s="4" t="s">
        <v>493</v>
      </c>
      <c r="C54" s="4" t="s">
        <v>494</v>
      </c>
      <c r="D54" s="4" t="s">
        <v>494</v>
      </c>
      <c r="E54" s="4" t="s">
        <v>494</v>
      </c>
      <c r="F54" s="4" t="s">
        <v>494</v>
      </c>
    </row>
    <row r="55" spans="1:6" ht="16.5" customHeight="1">
      <c r="A55" s="4" t="s">
        <v>371</v>
      </c>
      <c r="B55" s="4" t="s">
        <v>493</v>
      </c>
      <c r="C55" s="4" t="s">
        <v>494</v>
      </c>
      <c r="D55" s="4" t="s">
        <v>494</v>
      </c>
      <c r="E55" s="4" t="s">
        <v>494</v>
      </c>
      <c r="F55" s="4" t="s">
        <v>494</v>
      </c>
    </row>
    <row r="56" spans="1:6" ht="16.5" customHeight="1">
      <c r="A56" s="4" t="s">
        <v>3</v>
      </c>
      <c r="B56" s="4" t="s">
        <v>493</v>
      </c>
      <c r="C56" s="4" t="s">
        <v>494</v>
      </c>
      <c r="D56" s="4" t="s">
        <v>494</v>
      </c>
      <c r="E56" s="4" t="s">
        <v>494</v>
      </c>
      <c r="F56" s="4" t="s">
        <v>494</v>
      </c>
    </row>
    <row r="57" spans="1:6" ht="16.5" customHeight="1">
      <c r="A57" s="4" t="s">
        <v>370</v>
      </c>
      <c r="B57" s="4" t="s">
        <v>493</v>
      </c>
      <c r="C57" s="4" t="s">
        <v>494</v>
      </c>
      <c r="D57" s="4" t="s">
        <v>494</v>
      </c>
      <c r="E57" s="4" t="s">
        <v>494</v>
      </c>
      <c r="F57" s="4" t="s">
        <v>494</v>
      </c>
    </row>
    <row r="58" spans="1:6" ht="16.5" customHeight="1">
      <c r="A58" s="4" t="s">
        <v>374</v>
      </c>
      <c r="B58" s="4" t="s">
        <v>493</v>
      </c>
      <c r="C58" s="4" t="s">
        <v>494</v>
      </c>
      <c r="D58" s="4" t="s">
        <v>494</v>
      </c>
      <c r="E58" s="4" t="s">
        <v>494</v>
      </c>
      <c r="F58" s="4" t="s">
        <v>494</v>
      </c>
    </row>
    <row r="59" spans="1:6" ht="16.5" customHeight="1">
      <c r="A59" s="4" t="s">
        <v>373</v>
      </c>
      <c r="B59" s="4" t="s">
        <v>493</v>
      </c>
      <c r="C59" s="4" t="s">
        <v>494</v>
      </c>
      <c r="D59" s="4" t="s">
        <v>494</v>
      </c>
      <c r="E59" s="4" t="s">
        <v>494</v>
      </c>
      <c r="F59" s="4" t="s">
        <v>494</v>
      </c>
    </row>
    <row r="60" spans="1:6" ht="16.5" customHeight="1">
      <c r="A60" s="4" t="s">
        <v>369</v>
      </c>
      <c r="B60" s="4" t="s">
        <v>493</v>
      </c>
      <c r="C60" s="4" t="s">
        <v>494</v>
      </c>
      <c r="D60" s="4" t="s">
        <v>494</v>
      </c>
      <c r="E60" s="4" t="s">
        <v>494</v>
      </c>
      <c r="F60" s="4" t="s">
        <v>494</v>
      </c>
    </row>
    <row r="61" spans="1:6" ht="16.5" customHeight="1">
      <c r="A61" s="4" t="s">
        <v>376</v>
      </c>
      <c r="B61" s="4" t="s">
        <v>493</v>
      </c>
      <c r="C61" s="4" t="s">
        <v>494</v>
      </c>
      <c r="D61" s="4" t="s">
        <v>494</v>
      </c>
      <c r="E61" s="4" t="s">
        <v>494</v>
      </c>
      <c r="F61" s="4" t="s">
        <v>494</v>
      </c>
    </row>
    <row r="62" spans="1:6" ht="16.5" customHeight="1">
      <c r="A62" s="4" t="s">
        <v>305</v>
      </c>
      <c r="B62" s="4" t="s">
        <v>495</v>
      </c>
      <c r="C62" s="4" t="s">
        <v>495</v>
      </c>
      <c r="D62" s="4" t="s">
        <v>495</v>
      </c>
      <c r="E62" s="4" t="s">
        <v>494</v>
      </c>
      <c r="F62" s="4" t="s">
        <v>494</v>
      </c>
    </row>
    <row r="63" spans="1:6" ht="16.5" customHeight="1">
      <c r="A63" s="4" t="s">
        <v>307</v>
      </c>
      <c r="B63" s="4" t="s">
        <v>495</v>
      </c>
      <c r="C63" s="4" t="s">
        <v>495</v>
      </c>
      <c r="D63" s="4" t="s">
        <v>495</v>
      </c>
      <c r="E63" s="4" t="s">
        <v>494</v>
      </c>
      <c r="F63" s="4" t="s">
        <v>494</v>
      </c>
    </row>
    <row r="64" spans="1:6" ht="16.5" customHeight="1">
      <c r="A64" s="4" t="s">
        <v>304</v>
      </c>
      <c r="B64" s="4" t="s">
        <v>495</v>
      </c>
      <c r="C64" s="4" t="s">
        <v>495</v>
      </c>
      <c r="D64" s="4" t="s">
        <v>495</v>
      </c>
      <c r="E64" s="4" t="s">
        <v>494</v>
      </c>
      <c r="F64" s="4" t="s">
        <v>494</v>
      </c>
    </row>
    <row r="65" spans="1:6" ht="16.5" customHeight="1">
      <c r="A65" s="4" t="s">
        <v>306</v>
      </c>
      <c r="B65" s="4" t="s">
        <v>495</v>
      </c>
      <c r="C65" s="4" t="s">
        <v>495</v>
      </c>
      <c r="D65" s="4" t="s">
        <v>495</v>
      </c>
      <c r="E65" s="4" t="s">
        <v>494</v>
      </c>
      <c r="F65" s="4" t="s">
        <v>494</v>
      </c>
    </row>
    <row r="66" spans="1:6" ht="16.5" customHeight="1">
      <c r="A66" s="4" t="s">
        <v>303</v>
      </c>
      <c r="B66" s="4" t="s">
        <v>495</v>
      </c>
      <c r="C66" s="4" t="s">
        <v>495</v>
      </c>
      <c r="D66" s="4" t="s">
        <v>495</v>
      </c>
      <c r="E66" s="4" t="s">
        <v>494</v>
      </c>
      <c r="F66" s="4" t="s">
        <v>494</v>
      </c>
    </row>
    <row r="67" spans="1:6" ht="16.5" customHeight="1">
      <c r="A67" s="4" t="s">
        <v>318</v>
      </c>
      <c r="B67" s="4" t="s">
        <v>493</v>
      </c>
      <c r="C67" s="4" t="s">
        <v>495</v>
      </c>
      <c r="D67" s="4" t="s">
        <v>495</v>
      </c>
      <c r="E67" s="4" t="s">
        <v>494</v>
      </c>
      <c r="F67" s="4" t="s">
        <v>494</v>
      </c>
    </row>
    <row r="68" spans="1:6" ht="16.5" customHeight="1">
      <c r="A68" s="4" t="s">
        <v>321</v>
      </c>
      <c r="B68" s="4" t="s">
        <v>493</v>
      </c>
      <c r="C68" s="4" t="s">
        <v>495</v>
      </c>
      <c r="D68" s="4" t="s">
        <v>495</v>
      </c>
      <c r="E68" s="4" t="s">
        <v>494</v>
      </c>
      <c r="F68" s="4" t="s">
        <v>494</v>
      </c>
    </row>
    <row r="69" spans="1:6" ht="16.5" customHeight="1">
      <c r="A69" s="4" t="s">
        <v>319</v>
      </c>
      <c r="B69" s="4" t="s">
        <v>493</v>
      </c>
      <c r="C69" s="4" t="s">
        <v>495</v>
      </c>
      <c r="D69" s="4" t="s">
        <v>495</v>
      </c>
      <c r="E69" s="4" t="s">
        <v>494</v>
      </c>
      <c r="F69" s="4" t="s">
        <v>494</v>
      </c>
    </row>
    <row r="70" spans="1:6" ht="16.5" customHeight="1">
      <c r="A70" s="4" t="s">
        <v>320</v>
      </c>
      <c r="B70" s="4" t="s">
        <v>493</v>
      </c>
      <c r="C70" s="4" t="s">
        <v>495</v>
      </c>
      <c r="D70" s="4" t="s">
        <v>495</v>
      </c>
      <c r="E70" s="4" t="s">
        <v>494</v>
      </c>
      <c r="F70" s="4" t="s">
        <v>494</v>
      </c>
    </row>
    <row r="71" spans="1:6" ht="16.5" customHeight="1">
      <c r="A71" s="4" t="s">
        <v>317</v>
      </c>
      <c r="B71" s="4" t="s">
        <v>493</v>
      </c>
      <c r="C71" s="4" t="s">
        <v>495</v>
      </c>
      <c r="D71" s="4" t="s">
        <v>495</v>
      </c>
      <c r="E71" s="4" t="s">
        <v>494</v>
      </c>
      <c r="F71" s="4" t="s">
        <v>494</v>
      </c>
    </row>
    <row r="72" spans="1:6" ht="16.5" customHeight="1">
      <c r="A72" s="4" t="s">
        <v>368</v>
      </c>
      <c r="B72" s="4" t="s">
        <v>495</v>
      </c>
      <c r="C72" s="4" t="s">
        <v>495</v>
      </c>
      <c r="D72" s="4" t="s">
        <v>495</v>
      </c>
      <c r="E72" s="4" t="s">
        <v>494</v>
      </c>
      <c r="F72" s="4" t="s">
        <v>494</v>
      </c>
    </row>
    <row r="73" spans="1:6" ht="16.5" customHeight="1">
      <c r="A73" s="4" t="s">
        <v>364</v>
      </c>
      <c r="B73" s="4" t="s">
        <v>495</v>
      </c>
      <c r="C73" s="4" t="s">
        <v>495</v>
      </c>
      <c r="D73" s="4" t="s">
        <v>495</v>
      </c>
      <c r="E73" s="4" t="s">
        <v>494</v>
      </c>
      <c r="F73" s="4" t="s">
        <v>494</v>
      </c>
    </row>
    <row r="74" spans="1:6" ht="16.5" customHeight="1">
      <c r="A74" s="4" t="s">
        <v>365</v>
      </c>
      <c r="B74" s="4" t="s">
        <v>495</v>
      </c>
      <c r="C74" s="4" t="s">
        <v>495</v>
      </c>
      <c r="D74" s="4" t="s">
        <v>495</v>
      </c>
      <c r="E74" s="4" t="s">
        <v>494</v>
      </c>
      <c r="F74" s="4" t="s">
        <v>494</v>
      </c>
    </row>
    <row r="75" spans="1:6" ht="16.5" customHeight="1">
      <c r="A75" s="4" t="s">
        <v>366</v>
      </c>
      <c r="B75" s="4" t="s">
        <v>495</v>
      </c>
      <c r="C75" s="4" t="s">
        <v>495</v>
      </c>
      <c r="D75" s="4" t="s">
        <v>495</v>
      </c>
      <c r="E75" s="4" t="s">
        <v>494</v>
      </c>
      <c r="F75" s="4" t="s">
        <v>494</v>
      </c>
    </row>
    <row r="76" spans="1:6" ht="16.5" customHeight="1">
      <c r="A76" s="4" t="s">
        <v>367</v>
      </c>
      <c r="B76" s="4" t="s">
        <v>495</v>
      </c>
      <c r="C76" s="4" t="s">
        <v>495</v>
      </c>
      <c r="D76" s="4" t="s">
        <v>495</v>
      </c>
      <c r="E76" s="4" t="s">
        <v>494</v>
      </c>
      <c r="F76" s="4" t="s">
        <v>494</v>
      </c>
    </row>
    <row r="77" spans="1:6" ht="16.5" customHeight="1">
      <c r="A77" s="4" t="s">
        <v>363</v>
      </c>
      <c r="B77" s="4" t="s">
        <v>493</v>
      </c>
      <c r="C77" s="4" t="s">
        <v>495</v>
      </c>
      <c r="D77" s="4" t="s">
        <v>495</v>
      </c>
      <c r="E77" s="4" t="s">
        <v>494</v>
      </c>
      <c r="F77" s="4" t="s">
        <v>494</v>
      </c>
    </row>
    <row r="78" spans="1:6" ht="16.5" customHeight="1">
      <c r="A78" s="4" t="s">
        <v>234</v>
      </c>
      <c r="B78" s="4" t="s">
        <v>493</v>
      </c>
      <c r="C78" s="4" t="s">
        <v>494</v>
      </c>
      <c r="D78" s="4" t="s">
        <v>494</v>
      </c>
      <c r="E78" s="4" t="s">
        <v>494</v>
      </c>
      <c r="F78" s="4" t="s">
        <v>494</v>
      </c>
    </row>
    <row r="79" spans="1:6" ht="16.5" customHeight="1">
      <c r="A79" s="4" t="s">
        <v>232</v>
      </c>
      <c r="B79" s="4" t="s">
        <v>493</v>
      </c>
      <c r="C79" s="4" t="s">
        <v>494</v>
      </c>
      <c r="D79" s="4" t="s">
        <v>494</v>
      </c>
      <c r="E79" s="4" t="s">
        <v>494</v>
      </c>
      <c r="F79" s="4" t="s">
        <v>494</v>
      </c>
    </row>
    <row r="80" spans="1:6" ht="16.5" customHeight="1">
      <c r="A80" s="4" t="s">
        <v>235</v>
      </c>
      <c r="B80" s="4" t="s">
        <v>493</v>
      </c>
      <c r="C80" s="4" t="s">
        <v>494</v>
      </c>
      <c r="D80" s="4" t="s">
        <v>494</v>
      </c>
      <c r="E80" s="4" t="s">
        <v>494</v>
      </c>
      <c r="F80" s="4" t="s">
        <v>494</v>
      </c>
    </row>
    <row r="81" spans="1:6" ht="16.5" customHeight="1">
      <c r="A81" s="4" t="s">
        <v>233</v>
      </c>
      <c r="B81" s="4" t="s">
        <v>493</v>
      </c>
      <c r="C81" s="4" t="s">
        <v>494</v>
      </c>
      <c r="D81" s="4" t="s">
        <v>494</v>
      </c>
      <c r="E81" s="4" t="s">
        <v>494</v>
      </c>
      <c r="F81" s="4" t="s">
        <v>494</v>
      </c>
    </row>
    <row r="82" spans="1:6" ht="16.5" customHeight="1">
      <c r="A82" s="4" t="s">
        <v>230</v>
      </c>
      <c r="B82" s="4" t="s">
        <v>493</v>
      </c>
      <c r="C82" s="4" t="s">
        <v>494</v>
      </c>
      <c r="D82" s="4" t="s">
        <v>494</v>
      </c>
      <c r="E82" s="4" t="s">
        <v>494</v>
      </c>
      <c r="F82" s="4" t="s">
        <v>494</v>
      </c>
    </row>
    <row r="83" spans="1:6" ht="16.5" customHeight="1">
      <c r="A83" s="4" t="s">
        <v>231</v>
      </c>
      <c r="B83" s="4" t="s">
        <v>493</v>
      </c>
      <c r="C83" s="4" t="s">
        <v>494</v>
      </c>
      <c r="D83" s="4" t="s">
        <v>494</v>
      </c>
      <c r="E83" s="4" t="s">
        <v>494</v>
      </c>
      <c r="F83" s="4" t="s">
        <v>494</v>
      </c>
    </row>
    <row r="84" spans="1:6" ht="16.5" customHeight="1">
      <c r="A84" s="4" t="s">
        <v>229</v>
      </c>
      <c r="B84" s="4" t="s">
        <v>493</v>
      </c>
      <c r="C84" s="4" t="s">
        <v>494</v>
      </c>
      <c r="D84" s="4" t="s">
        <v>494</v>
      </c>
      <c r="E84" s="4" t="s">
        <v>494</v>
      </c>
      <c r="F84" s="4" t="s">
        <v>494</v>
      </c>
    </row>
    <row r="85" spans="1:6" ht="16.5" customHeight="1">
      <c r="A85" s="4" t="s">
        <v>251</v>
      </c>
      <c r="B85" s="4" t="s">
        <v>494</v>
      </c>
      <c r="C85" s="4" t="s">
        <v>494</v>
      </c>
      <c r="D85" s="4" t="s">
        <v>494</v>
      </c>
      <c r="E85" s="4" t="s">
        <v>494</v>
      </c>
      <c r="F85" s="4" t="s">
        <v>494</v>
      </c>
    </row>
    <row r="86" spans="1:6" ht="16.5" customHeight="1">
      <c r="A86" s="4" t="s">
        <v>241</v>
      </c>
      <c r="B86" s="4" t="s">
        <v>493</v>
      </c>
      <c r="C86" s="4" t="s">
        <v>494</v>
      </c>
      <c r="D86" s="4" t="s">
        <v>494</v>
      </c>
      <c r="E86" s="4" t="s">
        <v>494</v>
      </c>
      <c r="F86" s="4" t="s">
        <v>494</v>
      </c>
    </row>
    <row r="87" spans="1:6" ht="16.5" customHeight="1">
      <c r="A87" s="4" t="s">
        <v>240</v>
      </c>
      <c r="B87" s="4" t="s">
        <v>493</v>
      </c>
      <c r="C87" s="4" t="s">
        <v>494</v>
      </c>
      <c r="D87" s="4" t="s">
        <v>494</v>
      </c>
      <c r="E87" s="4" t="s">
        <v>494</v>
      </c>
      <c r="F87" s="4" t="s">
        <v>494</v>
      </c>
    </row>
    <row r="88" spans="1:6" ht="16.5" customHeight="1">
      <c r="A88" s="4" t="s">
        <v>228</v>
      </c>
      <c r="B88" s="4" t="s">
        <v>493</v>
      </c>
      <c r="C88" s="4" t="s">
        <v>494</v>
      </c>
      <c r="D88" s="4" t="s">
        <v>494</v>
      </c>
      <c r="E88" s="4" t="s">
        <v>494</v>
      </c>
      <c r="F88" s="4" t="s">
        <v>494</v>
      </c>
    </row>
    <row r="89" spans="1:6" ht="16.5" customHeight="1">
      <c r="A89" s="4" t="s">
        <v>226</v>
      </c>
      <c r="B89" s="4" t="s">
        <v>493</v>
      </c>
      <c r="C89" s="4" t="s">
        <v>494</v>
      </c>
      <c r="D89" s="4" t="s">
        <v>494</v>
      </c>
      <c r="E89" s="4" t="s">
        <v>494</v>
      </c>
      <c r="F89" s="4" t="s">
        <v>494</v>
      </c>
    </row>
    <row r="90" spans="1:6" ht="16.5" customHeight="1">
      <c r="A90" s="4" t="s">
        <v>227</v>
      </c>
      <c r="B90" s="4" t="s">
        <v>493</v>
      </c>
      <c r="C90" s="4" t="s">
        <v>494</v>
      </c>
      <c r="D90" s="4" t="s">
        <v>494</v>
      </c>
      <c r="E90" s="4" t="s">
        <v>494</v>
      </c>
      <c r="F90" s="4" t="s">
        <v>494</v>
      </c>
    </row>
    <row r="91" spans="1:6" ht="16.5" customHeight="1">
      <c r="A91" s="4" t="s">
        <v>219</v>
      </c>
      <c r="B91" s="4" t="s">
        <v>493</v>
      </c>
      <c r="C91" s="4" t="s">
        <v>494</v>
      </c>
      <c r="D91" s="4" t="s">
        <v>494</v>
      </c>
      <c r="E91" s="4" t="s">
        <v>494</v>
      </c>
      <c r="F91" s="4" t="s">
        <v>494</v>
      </c>
    </row>
    <row r="92" spans="1:6" ht="16.5" customHeight="1">
      <c r="A92" s="4" t="s">
        <v>254</v>
      </c>
      <c r="B92" s="4" t="s">
        <v>493</v>
      </c>
      <c r="C92" s="4" t="s">
        <v>494</v>
      </c>
      <c r="D92" s="4" t="s">
        <v>494</v>
      </c>
      <c r="E92" s="4" t="s">
        <v>494</v>
      </c>
      <c r="F92" s="4" t="s">
        <v>494</v>
      </c>
    </row>
    <row r="93" spans="1:6" ht="16.5" customHeight="1">
      <c r="A93" s="4" t="s">
        <v>225</v>
      </c>
      <c r="B93" s="4" t="s">
        <v>494</v>
      </c>
      <c r="C93" s="4" t="s">
        <v>494</v>
      </c>
      <c r="D93" s="4" t="s">
        <v>494</v>
      </c>
      <c r="E93" s="4" t="s">
        <v>494</v>
      </c>
      <c r="F93" s="4" t="s">
        <v>494</v>
      </c>
    </row>
    <row r="94" spans="1:6" ht="16.5" customHeight="1">
      <c r="A94" s="4" t="s">
        <v>238</v>
      </c>
      <c r="B94" s="4" t="s">
        <v>493</v>
      </c>
      <c r="C94" s="4" t="s">
        <v>494</v>
      </c>
      <c r="D94" s="4" t="s">
        <v>494</v>
      </c>
      <c r="E94" s="4" t="s">
        <v>494</v>
      </c>
      <c r="F94" s="4" t="s">
        <v>494</v>
      </c>
    </row>
    <row r="95" spans="1:6" ht="16.5" customHeight="1">
      <c r="A95" s="4" t="s">
        <v>237</v>
      </c>
      <c r="B95" s="4" t="s">
        <v>493</v>
      </c>
      <c r="C95" s="4" t="s">
        <v>494</v>
      </c>
      <c r="D95" s="4" t="s">
        <v>494</v>
      </c>
      <c r="E95" s="4" t="s">
        <v>494</v>
      </c>
      <c r="F95" s="4" t="s">
        <v>494</v>
      </c>
    </row>
    <row r="96" spans="1:6" ht="16.5" customHeight="1">
      <c r="A96" s="4" t="s">
        <v>215</v>
      </c>
      <c r="B96" s="4" t="s">
        <v>493</v>
      </c>
      <c r="C96" s="4" t="s">
        <v>494</v>
      </c>
      <c r="D96" s="4" t="s">
        <v>494</v>
      </c>
      <c r="E96" s="4" t="s">
        <v>494</v>
      </c>
      <c r="F96" s="4" t="s">
        <v>494</v>
      </c>
    </row>
    <row r="97" spans="1:6" ht="16.5" customHeight="1">
      <c r="A97" s="4" t="s">
        <v>216</v>
      </c>
      <c r="B97" s="4" t="s">
        <v>493</v>
      </c>
      <c r="C97" s="4" t="s">
        <v>494</v>
      </c>
      <c r="D97" s="4" t="s">
        <v>494</v>
      </c>
      <c r="E97" s="4" t="s">
        <v>494</v>
      </c>
      <c r="F97" s="4" t="s">
        <v>494</v>
      </c>
    </row>
    <row r="98" spans="1:6" ht="16.5" customHeight="1">
      <c r="A98" s="4" t="s">
        <v>217</v>
      </c>
      <c r="B98" s="4" t="s">
        <v>493</v>
      </c>
      <c r="C98" s="4" t="s">
        <v>494</v>
      </c>
      <c r="D98" s="4" t="s">
        <v>494</v>
      </c>
      <c r="E98" s="4" t="s">
        <v>494</v>
      </c>
      <c r="F98" s="4" t="s">
        <v>494</v>
      </c>
    </row>
    <row r="99" spans="1:6" ht="16.5" customHeight="1">
      <c r="A99" s="4" t="s">
        <v>218</v>
      </c>
      <c r="B99" s="4" t="s">
        <v>493</v>
      </c>
      <c r="C99" s="4" t="s">
        <v>494</v>
      </c>
      <c r="D99" s="4" t="s">
        <v>494</v>
      </c>
      <c r="E99" s="4" t="s">
        <v>494</v>
      </c>
      <c r="F99" s="4" t="s">
        <v>494</v>
      </c>
    </row>
    <row r="100" spans="1:6" ht="16.5" customHeight="1">
      <c r="A100" s="4" t="s">
        <v>221</v>
      </c>
      <c r="B100" s="4" t="s">
        <v>493</v>
      </c>
      <c r="C100" s="4" t="s">
        <v>494</v>
      </c>
      <c r="D100" s="4" t="s">
        <v>494</v>
      </c>
      <c r="E100" s="4" t="s">
        <v>494</v>
      </c>
      <c r="F100" s="4" t="s">
        <v>494</v>
      </c>
    </row>
    <row r="101" spans="1:6" ht="16.5" customHeight="1">
      <c r="A101" s="4" t="s">
        <v>224</v>
      </c>
      <c r="B101" s="4" t="s">
        <v>494</v>
      </c>
      <c r="C101" s="4" t="s">
        <v>494</v>
      </c>
      <c r="D101" s="4" t="s">
        <v>494</v>
      </c>
      <c r="E101" s="4" t="s">
        <v>494</v>
      </c>
      <c r="F101" s="4" t="s">
        <v>494</v>
      </c>
    </row>
    <row r="102" spans="1:6" ht="16.5" customHeight="1">
      <c r="A102" s="4" t="s">
        <v>246</v>
      </c>
      <c r="B102" s="4" t="s">
        <v>493</v>
      </c>
      <c r="C102" s="4" t="s">
        <v>494</v>
      </c>
      <c r="D102" s="4" t="s">
        <v>494</v>
      </c>
      <c r="E102" s="4" t="s">
        <v>494</v>
      </c>
      <c r="F102" s="4" t="s">
        <v>494</v>
      </c>
    </row>
    <row r="103" spans="1:6" ht="16.5" customHeight="1">
      <c r="A103" s="4" t="s">
        <v>236</v>
      </c>
      <c r="B103" s="4" t="s">
        <v>493</v>
      </c>
      <c r="C103" s="4" t="s">
        <v>494</v>
      </c>
      <c r="D103" s="4" t="s">
        <v>494</v>
      </c>
      <c r="E103" s="4" t="s">
        <v>494</v>
      </c>
      <c r="F103" s="4" t="s">
        <v>494</v>
      </c>
    </row>
    <row r="104" spans="1:6" ht="16.5" customHeight="1">
      <c r="A104" s="4" t="s">
        <v>222</v>
      </c>
      <c r="B104" s="4" t="s">
        <v>493</v>
      </c>
      <c r="C104" s="4" t="s">
        <v>494</v>
      </c>
      <c r="D104" s="4" t="s">
        <v>494</v>
      </c>
      <c r="E104" s="4" t="s">
        <v>494</v>
      </c>
      <c r="F104" s="4" t="s">
        <v>494</v>
      </c>
    </row>
    <row r="105" spans="1:6" ht="16.5" customHeight="1">
      <c r="A105" s="4" t="s">
        <v>250</v>
      </c>
      <c r="B105" s="4" t="s">
        <v>493</v>
      </c>
      <c r="C105" s="4" t="s">
        <v>494</v>
      </c>
      <c r="D105" s="4" t="s">
        <v>494</v>
      </c>
      <c r="E105" s="4" t="s">
        <v>494</v>
      </c>
      <c r="F105" s="4" t="s">
        <v>494</v>
      </c>
    </row>
    <row r="106" spans="1:6" ht="16.5" customHeight="1">
      <c r="A106" s="4" t="s">
        <v>256</v>
      </c>
      <c r="B106" s="4" t="s">
        <v>493</v>
      </c>
      <c r="C106" s="4" t="s">
        <v>494</v>
      </c>
      <c r="D106" s="4" t="s">
        <v>494</v>
      </c>
      <c r="E106" s="4" t="s">
        <v>494</v>
      </c>
      <c r="F106" s="4" t="s">
        <v>494</v>
      </c>
    </row>
    <row r="107" spans="1:6" ht="16.5" customHeight="1">
      <c r="A107" s="4" t="s">
        <v>249</v>
      </c>
      <c r="B107" s="4" t="s">
        <v>493</v>
      </c>
      <c r="C107" s="4" t="s">
        <v>494</v>
      </c>
      <c r="D107" s="4" t="s">
        <v>494</v>
      </c>
      <c r="E107" s="4" t="s">
        <v>494</v>
      </c>
      <c r="F107" s="4" t="s">
        <v>494</v>
      </c>
    </row>
    <row r="108" spans="1:6" ht="16.5" customHeight="1">
      <c r="A108" s="4" t="s">
        <v>247</v>
      </c>
      <c r="B108" s="4" t="s">
        <v>493</v>
      </c>
      <c r="C108" s="4" t="s">
        <v>494</v>
      </c>
      <c r="D108" s="4" t="s">
        <v>494</v>
      </c>
      <c r="E108" s="4" t="s">
        <v>494</v>
      </c>
      <c r="F108" s="4" t="s">
        <v>494</v>
      </c>
    </row>
    <row r="109" spans="1:6" ht="16.5" customHeight="1">
      <c r="A109" s="4" t="s">
        <v>248</v>
      </c>
      <c r="B109" s="4" t="s">
        <v>493</v>
      </c>
      <c r="C109" s="4" t="s">
        <v>494</v>
      </c>
      <c r="D109" s="4" t="s">
        <v>494</v>
      </c>
      <c r="E109" s="4" t="s">
        <v>494</v>
      </c>
      <c r="F109" s="4" t="s">
        <v>494</v>
      </c>
    </row>
    <row r="110" spans="1:6" ht="16.5" customHeight="1">
      <c r="A110" s="4" t="s">
        <v>253</v>
      </c>
      <c r="B110" s="4" t="s">
        <v>494</v>
      </c>
      <c r="C110" s="4" t="s">
        <v>494</v>
      </c>
      <c r="D110" s="4" t="s">
        <v>494</v>
      </c>
      <c r="E110" s="4" t="s">
        <v>494</v>
      </c>
      <c r="F110" s="4" t="s">
        <v>494</v>
      </c>
    </row>
    <row r="111" spans="1:6" ht="16.5" customHeight="1">
      <c r="A111" s="4" t="s">
        <v>252</v>
      </c>
      <c r="B111" s="4" t="s">
        <v>493</v>
      </c>
      <c r="C111" s="4" t="s">
        <v>494</v>
      </c>
      <c r="D111" s="4" t="s">
        <v>494</v>
      </c>
      <c r="E111" s="4" t="s">
        <v>494</v>
      </c>
      <c r="F111" s="4" t="s">
        <v>494</v>
      </c>
    </row>
    <row r="112" spans="1:6" ht="16.5" customHeight="1">
      <c r="A112" s="4" t="s">
        <v>239</v>
      </c>
      <c r="B112" s="4" t="s">
        <v>493</v>
      </c>
      <c r="C112" s="4" t="s">
        <v>494</v>
      </c>
      <c r="D112" s="4" t="s">
        <v>494</v>
      </c>
      <c r="E112" s="4" t="s">
        <v>494</v>
      </c>
      <c r="F112" s="4" t="s">
        <v>494</v>
      </c>
    </row>
    <row r="113" spans="1:6" ht="16.5" customHeight="1">
      <c r="A113" s="4" t="s">
        <v>223</v>
      </c>
      <c r="B113" s="4" t="s">
        <v>493</v>
      </c>
      <c r="C113" s="4" t="s">
        <v>494</v>
      </c>
      <c r="D113" s="4" t="s">
        <v>494</v>
      </c>
      <c r="E113" s="4" t="s">
        <v>494</v>
      </c>
      <c r="F113" s="4" t="s">
        <v>494</v>
      </c>
    </row>
    <row r="114" spans="1:6" ht="16.5" customHeight="1">
      <c r="A114" s="4" t="s">
        <v>257</v>
      </c>
      <c r="B114" s="4" t="s">
        <v>493</v>
      </c>
      <c r="C114" s="4" t="s">
        <v>494</v>
      </c>
      <c r="D114" s="4" t="s">
        <v>494</v>
      </c>
      <c r="E114" s="4" t="s">
        <v>494</v>
      </c>
      <c r="F114" s="4" t="s">
        <v>494</v>
      </c>
    </row>
    <row r="115" spans="1:6" ht="16.5" customHeight="1">
      <c r="A115" s="4" t="s">
        <v>220</v>
      </c>
      <c r="B115" s="4" t="s">
        <v>493</v>
      </c>
      <c r="C115" s="4" t="s">
        <v>494</v>
      </c>
      <c r="D115" s="4" t="s">
        <v>494</v>
      </c>
      <c r="E115" s="4" t="s">
        <v>494</v>
      </c>
      <c r="F115" s="4" t="s">
        <v>494</v>
      </c>
    </row>
    <row r="116" spans="1:6" ht="16.5" customHeight="1">
      <c r="A116" s="4" t="s">
        <v>242</v>
      </c>
      <c r="B116" s="4" t="s">
        <v>494</v>
      </c>
      <c r="C116" s="4" t="s">
        <v>494</v>
      </c>
      <c r="D116" s="4" t="s">
        <v>494</v>
      </c>
      <c r="E116" s="4" t="s">
        <v>494</v>
      </c>
      <c r="F116" s="4" t="s">
        <v>494</v>
      </c>
    </row>
    <row r="117" spans="1:6" ht="16.5" customHeight="1">
      <c r="A117" s="4" t="s">
        <v>255</v>
      </c>
      <c r="B117" s="4" t="s">
        <v>494</v>
      </c>
      <c r="C117" s="4" t="s">
        <v>494</v>
      </c>
      <c r="D117" s="4" t="s">
        <v>494</v>
      </c>
      <c r="E117" s="4" t="s">
        <v>494</v>
      </c>
      <c r="F117" s="4" t="s">
        <v>494</v>
      </c>
    </row>
    <row r="118" spans="1:6" ht="16.5" customHeight="1">
      <c r="A118" s="4" t="s">
        <v>244</v>
      </c>
      <c r="B118" s="4" t="s">
        <v>493</v>
      </c>
      <c r="C118" s="4" t="s">
        <v>494</v>
      </c>
      <c r="D118" s="4" t="s">
        <v>494</v>
      </c>
      <c r="E118" s="4" t="s">
        <v>494</v>
      </c>
      <c r="F118" s="4" t="s">
        <v>494</v>
      </c>
    </row>
    <row r="119" spans="1:6" ht="16.5" customHeight="1">
      <c r="A119" s="4" t="s">
        <v>245</v>
      </c>
      <c r="B119" s="4" t="s">
        <v>494</v>
      </c>
      <c r="C119" s="4" t="s">
        <v>494</v>
      </c>
      <c r="D119" s="4" t="s">
        <v>494</v>
      </c>
      <c r="E119" s="4" t="s">
        <v>494</v>
      </c>
      <c r="F119" s="4" t="s">
        <v>494</v>
      </c>
    </row>
    <row r="120" spans="1:6" ht="16.5" customHeight="1">
      <c r="A120" s="4" t="s">
        <v>213</v>
      </c>
      <c r="B120" s="4" t="s">
        <v>494</v>
      </c>
      <c r="C120" s="4" t="s">
        <v>494</v>
      </c>
      <c r="D120" s="4" t="s">
        <v>494</v>
      </c>
      <c r="E120" s="4" t="s">
        <v>494</v>
      </c>
      <c r="F120" s="4" t="s">
        <v>494</v>
      </c>
    </row>
    <row r="121" spans="1:6" ht="16.5" customHeight="1">
      <c r="A121" s="4" t="s">
        <v>243</v>
      </c>
      <c r="B121" s="4" t="s">
        <v>493</v>
      </c>
      <c r="C121" s="4" t="s">
        <v>494</v>
      </c>
      <c r="D121" s="4" t="s">
        <v>494</v>
      </c>
      <c r="E121" s="4" t="s">
        <v>494</v>
      </c>
      <c r="F121" s="4" t="s">
        <v>494</v>
      </c>
    </row>
    <row r="122" spans="1:6" ht="16.5" customHeight="1">
      <c r="A122" s="4" t="s">
        <v>206</v>
      </c>
      <c r="B122" s="4" t="s">
        <v>494</v>
      </c>
      <c r="C122" s="4" t="s">
        <v>495</v>
      </c>
      <c r="D122" s="4" t="s">
        <v>494</v>
      </c>
      <c r="E122" s="4" t="s">
        <v>494</v>
      </c>
      <c r="F122" s="4" t="s">
        <v>494</v>
      </c>
    </row>
    <row r="123" spans="1:6" ht="16.5" customHeight="1">
      <c r="A123" s="4" t="s">
        <v>200</v>
      </c>
      <c r="B123" s="4" t="s">
        <v>494</v>
      </c>
      <c r="C123" s="4" t="s">
        <v>495</v>
      </c>
      <c r="D123" s="4" t="s">
        <v>494</v>
      </c>
      <c r="E123" s="4" t="s">
        <v>494</v>
      </c>
      <c r="F123" s="4" t="s">
        <v>494</v>
      </c>
    </row>
    <row r="124" spans="1:6" ht="16.5" customHeight="1">
      <c r="A124" s="4" t="s">
        <v>174</v>
      </c>
      <c r="B124" s="4" t="s">
        <v>493</v>
      </c>
      <c r="C124" s="4" t="s">
        <v>494</v>
      </c>
      <c r="D124" s="4" t="s">
        <v>494</v>
      </c>
      <c r="E124" s="4" t="s">
        <v>494</v>
      </c>
      <c r="F124" s="4" t="s">
        <v>494</v>
      </c>
    </row>
    <row r="125" spans="1:6" ht="16.5" customHeight="1">
      <c r="A125" s="4" t="s">
        <v>187</v>
      </c>
      <c r="B125" s="4" t="s">
        <v>493</v>
      </c>
      <c r="C125" s="4" t="s">
        <v>494</v>
      </c>
      <c r="D125" s="4" t="s">
        <v>494</v>
      </c>
      <c r="E125" s="4" t="s">
        <v>494</v>
      </c>
      <c r="F125" s="4" t="s">
        <v>494</v>
      </c>
    </row>
    <row r="126" spans="1:6" ht="16.5" customHeight="1">
      <c r="A126" s="4" t="s">
        <v>208</v>
      </c>
      <c r="B126" s="4" t="s">
        <v>494</v>
      </c>
      <c r="C126" s="4" t="s">
        <v>495</v>
      </c>
      <c r="D126" s="4" t="s">
        <v>494</v>
      </c>
      <c r="E126" s="4" t="s">
        <v>494</v>
      </c>
      <c r="F126" s="4" t="s">
        <v>494</v>
      </c>
    </row>
    <row r="127" spans="1:6" ht="16.5" customHeight="1">
      <c r="A127" s="4" t="s">
        <v>194</v>
      </c>
      <c r="B127" s="4" t="s">
        <v>493</v>
      </c>
      <c r="C127" s="4" t="s">
        <v>494</v>
      </c>
      <c r="D127" s="4" t="s">
        <v>494</v>
      </c>
      <c r="E127" s="4" t="s">
        <v>494</v>
      </c>
      <c r="F127" s="4" t="s">
        <v>494</v>
      </c>
    </row>
    <row r="128" spans="1:6" ht="16.5" customHeight="1">
      <c r="A128" s="4" t="s">
        <v>191</v>
      </c>
      <c r="B128" s="4" t="s">
        <v>493</v>
      </c>
      <c r="C128" s="4" t="s">
        <v>494</v>
      </c>
      <c r="D128" s="4" t="s">
        <v>494</v>
      </c>
      <c r="E128" s="4" t="s">
        <v>494</v>
      </c>
      <c r="F128" s="4" t="s">
        <v>494</v>
      </c>
    </row>
    <row r="129" spans="1:6" ht="16.5" customHeight="1">
      <c r="A129" s="4" t="s">
        <v>210</v>
      </c>
      <c r="B129" s="4" t="s">
        <v>494</v>
      </c>
      <c r="C129" s="4" t="s">
        <v>495</v>
      </c>
      <c r="D129" s="4" t="s">
        <v>494</v>
      </c>
      <c r="E129" s="4" t="s">
        <v>494</v>
      </c>
      <c r="F129" s="4" t="s">
        <v>494</v>
      </c>
    </row>
    <row r="130" spans="1:6" ht="16.5" customHeight="1">
      <c r="A130" s="4" t="s">
        <v>212</v>
      </c>
      <c r="B130" s="4" t="s">
        <v>494</v>
      </c>
      <c r="C130" s="4" t="s">
        <v>495</v>
      </c>
      <c r="D130" s="4" t="s">
        <v>494</v>
      </c>
      <c r="E130" s="4" t="s">
        <v>494</v>
      </c>
      <c r="F130" s="4" t="s">
        <v>494</v>
      </c>
    </row>
    <row r="131" spans="1:6" ht="16.5" customHeight="1">
      <c r="A131" s="4" t="s">
        <v>199</v>
      </c>
      <c r="B131" s="4" t="s">
        <v>494</v>
      </c>
      <c r="C131" s="4" t="s">
        <v>495</v>
      </c>
      <c r="D131" s="4" t="s">
        <v>494</v>
      </c>
      <c r="E131" s="4" t="s">
        <v>494</v>
      </c>
      <c r="F131" s="4" t="s">
        <v>494</v>
      </c>
    </row>
    <row r="132" spans="1:6" ht="16.5" customHeight="1">
      <c r="A132" s="4" t="s">
        <v>209</v>
      </c>
      <c r="B132" s="4" t="s">
        <v>494</v>
      </c>
      <c r="C132" s="4" t="s">
        <v>495</v>
      </c>
      <c r="D132" s="4" t="s">
        <v>494</v>
      </c>
      <c r="E132" s="4" t="s">
        <v>494</v>
      </c>
      <c r="F132" s="4" t="s">
        <v>494</v>
      </c>
    </row>
    <row r="133" spans="1:6" ht="16.5" customHeight="1">
      <c r="A133" s="4" t="s">
        <v>203</v>
      </c>
      <c r="B133" s="4" t="s">
        <v>494</v>
      </c>
      <c r="C133" s="4" t="s">
        <v>495</v>
      </c>
      <c r="D133" s="4" t="s">
        <v>494</v>
      </c>
      <c r="E133" s="4" t="s">
        <v>494</v>
      </c>
      <c r="F133" s="4" t="s">
        <v>494</v>
      </c>
    </row>
    <row r="134" spans="1:6" ht="16.5" customHeight="1">
      <c r="A134" s="4" t="s">
        <v>204</v>
      </c>
      <c r="B134" s="4" t="s">
        <v>494</v>
      </c>
      <c r="C134" s="4" t="s">
        <v>495</v>
      </c>
      <c r="D134" s="4" t="s">
        <v>494</v>
      </c>
      <c r="E134" s="4" t="s">
        <v>494</v>
      </c>
      <c r="F134" s="4" t="s">
        <v>494</v>
      </c>
    </row>
    <row r="135" spans="1:6" ht="16.5" customHeight="1">
      <c r="A135" s="4" t="s">
        <v>211</v>
      </c>
      <c r="B135" s="4" t="s">
        <v>494</v>
      </c>
      <c r="C135" s="4" t="s">
        <v>495</v>
      </c>
      <c r="D135" s="4" t="s">
        <v>494</v>
      </c>
      <c r="E135" s="4" t="s">
        <v>494</v>
      </c>
      <c r="F135" s="4" t="s">
        <v>494</v>
      </c>
    </row>
    <row r="136" spans="1:6" ht="16.5" customHeight="1">
      <c r="A136" s="4" t="s">
        <v>196</v>
      </c>
      <c r="B136" s="4" t="s">
        <v>494</v>
      </c>
      <c r="C136" s="4" t="s">
        <v>495</v>
      </c>
      <c r="D136" s="4" t="s">
        <v>494</v>
      </c>
      <c r="E136" s="4" t="s">
        <v>494</v>
      </c>
      <c r="F136" s="4" t="s">
        <v>494</v>
      </c>
    </row>
    <row r="137" spans="1:6" ht="16.5" customHeight="1">
      <c r="A137" s="4" t="s">
        <v>201</v>
      </c>
      <c r="B137" s="4" t="s">
        <v>494</v>
      </c>
      <c r="C137" s="4" t="s">
        <v>495</v>
      </c>
      <c r="D137" s="4" t="s">
        <v>494</v>
      </c>
      <c r="E137" s="4" t="s">
        <v>494</v>
      </c>
      <c r="F137" s="4" t="s">
        <v>494</v>
      </c>
    </row>
    <row r="138" spans="1:6" ht="16.5" customHeight="1">
      <c r="A138" s="4" t="s">
        <v>181</v>
      </c>
      <c r="B138" s="4" t="s">
        <v>493</v>
      </c>
      <c r="C138" s="4" t="s">
        <v>494</v>
      </c>
      <c r="D138" s="4" t="s">
        <v>494</v>
      </c>
      <c r="E138" s="4" t="s">
        <v>494</v>
      </c>
      <c r="F138" s="4" t="s">
        <v>494</v>
      </c>
    </row>
    <row r="139" spans="1:6" ht="16.5" customHeight="1">
      <c r="A139" s="4" t="s">
        <v>197</v>
      </c>
      <c r="B139" s="4" t="s">
        <v>493</v>
      </c>
      <c r="C139" s="4" t="s">
        <v>494</v>
      </c>
      <c r="D139" s="4" t="s">
        <v>494</v>
      </c>
      <c r="E139" s="4" t="s">
        <v>494</v>
      </c>
      <c r="F139" s="4" t="s">
        <v>494</v>
      </c>
    </row>
    <row r="140" spans="1:6" ht="16.5" customHeight="1">
      <c r="A140" s="4" t="s">
        <v>446</v>
      </c>
      <c r="B140" s="4" t="s">
        <v>493</v>
      </c>
      <c r="C140" s="4" t="s">
        <v>494</v>
      </c>
      <c r="D140" s="4" t="s">
        <v>494</v>
      </c>
      <c r="E140" s="4" t="s">
        <v>494</v>
      </c>
      <c r="F140" s="4" t="s">
        <v>494</v>
      </c>
    </row>
    <row r="141" spans="1:6" ht="16.5" customHeight="1">
      <c r="A141" s="4" t="s">
        <v>439</v>
      </c>
      <c r="B141" s="4" t="s">
        <v>494</v>
      </c>
      <c r="C141" s="4" t="s">
        <v>494</v>
      </c>
      <c r="D141" s="4" t="s">
        <v>494</v>
      </c>
      <c r="E141" s="4" t="s">
        <v>494</v>
      </c>
      <c r="F141" s="4" t="s">
        <v>494</v>
      </c>
    </row>
    <row r="142" spans="1:6" ht="16.5" customHeight="1">
      <c r="A142" s="4" t="s">
        <v>442</v>
      </c>
      <c r="B142" s="4" t="s">
        <v>493</v>
      </c>
      <c r="C142" s="4" t="s">
        <v>494</v>
      </c>
      <c r="D142" s="4" t="s">
        <v>494</v>
      </c>
      <c r="E142" s="4" t="s">
        <v>494</v>
      </c>
      <c r="F142" s="4" t="s">
        <v>494</v>
      </c>
    </row>
    <row r="143" spans="1:6" ht="16.5" customHeight="1">
      <c r="A143" s="4" t="s">
        <v>443</v>
      </c>
      <c r="B143" s="4" t="s">
        <v>493</v>
      </c>
      <c r="C143" s="4" t="s">
        <v>494</v>
      </c>
      <c r="D143" s="4" t="s">
        <v>494</v>
      </c>
      <c r="E143" s="4" t="s">
        <v>494</v>
      </c>
      <c r="F143" s="4" t="s">
        <v>494</v>
      </c>
    </row>
    <row r="144" spans="1:6" ht="16.5" customHeight="1">
      <c r="A144" s="4" t="s">
        <v>445</v>
      </c>
      <c r="B144" s="4" t="s">
        <v>493</v>
      </c>
      <c r="C144" s="4" t="s">
        <v>494</v>
      </c>
      <c r="D144" s="4" t="s">
        <v>494</v>
      </c>
      <c r="E144" s="4" t="s">
        <v>494</v>
      </c>
      <c r="F144" s="4" t="s">
        <v>494</v>
      </c>
    </row>
    <row r="145" spans="1:6" ht="16.5" customHeight="1">
      <c r="A145" s="4" t="s">
        <v>444</v>
      </c>
      <c r="B145" s="4" t="s">
        <v>493</v>
      </c>
      <c r="C145" s="4" t="s">
        <v>494</v>
      </c>
      <c r="D145" s="4" t="s">
        <v>494</v>
      </c>
      <c r="E145" s="4" t="s">
        <v>494</v>
      </c>
      <c r="F145" s="4" t="s">
        <v>494</v>
      </c>
    </row>
    <row r="146" spans="1:6" ht="16.5" customHeight="1">
      <c r="A146" s="4" t="s">
        <v>435</v>
      </c>
      <c r="B146" s="4" t="s">
        <v>493</v>
      </c>
      <c r="C146" s="4" t="s">
        <v>494</v>
      </c>
      <c r="D146" s="4" t="s">
        <v>494</v>
      </c>
      <c r="E146" s="4" t="s">
        <v>494</v>
      </c>
      <c r="F146" s="4" t="s">
        <v>494</v>
      </c>
    </row>
    <row r="147" spans="1:6" ht="16.5" customHeight="1">
      <c r="A147" s="4" t="s">
        <v>437</v>
      </c>
      <c r="B147" s="4" t="s">
        <v>493</v>
      </c>
      <c r="C147" s="4" t="s">
        <v>494</v>
      </c>
      <c r="D147" s="4" t="s">
        <v>494</v>
      </c>
      <c r="E147" s="4" t="s">
        <v>494</v>
      </c>
      <c r="F147" s="4" t="s">
        <v>494</v>
      </c>
    </row>
    <row r="148" spans="1:6" ht="16.5" customHeight="1">
      <c r="A148" s="4" t="s">
        <v>436</v>
      </c>
      <c r="B148" s="4" t="s">
        <v>493</v>
      </c>
      <c r="C148" s="4" t="s">
        <v>495</v>
      </c>
      <c r="D148" s="4" t="s">
        <v>494</v>
      </c>
      <c r="E148" s="4" t="s">
        <v>494</v>
      </c>
      <c r="F148" s="4" t="s">
        <v>494</v>
      </c>
    </row>
    <row r="149" spans="1:6" ht="16.5" customHeight="1">
      <c r="A149" s="4" t="s">
        <v>441</v>
      </c>
      <c r="B149" s="4" t="s">
        <v>493</v>
      </c>
      <c r="C149" s="4" t="s">
        <v>494</v>
      </c>
      <c r="D149" s="4" t="s">
        <v>494</v>
      </c>
      <c r="E149" s="4" t="s">
        <v>494</v>
      </c>
      <c r="F149" s="4" t="s">
        <v>494</v>
      </c>
    </row>
    <row r="150" spans="1:6" ht="16.5" customHeight="1">
      <c r="A150" s="4" t="s">
        <v>433</v>
      </c>
      <c r="B150" s="4" t="s">
        <v>493</v>
      </c>
      <c r="C150" s="4" t="s">
        <v>494</v>
      </c>
      <c r="D150" s="4" t="s">
        <v>494</v>
      </c>
      <c r="E150" s="4" t="s">
        <v>494</v>
      </c>
      <c r="F150" s="4" t="s">
        <v>494</v>
      </c>
    </row>
    <row r="151" spans="1:6" ht="16.5" customHeight="1">
      <c r="A151" s="4" t="s">
        <v>438</v>
      </c>
      <c r="B151" s="4" t="s">
        <v>493</v>
      </c>
      <c r="C151" s="4" t="s">
        <v>494</v>
      </c>
      <c r="D151" s="4" t="s">
        <v>494</v>
      </c>
      <c r="E151" s="4" t="s">
        <v>494</v>
      </c>
      <c r="F151" s="4" t="s">
        <v>494</v>
      </c>
    </row>
    <row r="152" spans="1:6" ht="16.5" customHeight="1">
      <c r="A152" s="4" t="s">
        <v>434</v>
      </c>
      <c r="B152" s="4" t="s">
        <v>493</v>
      </c>
      <c r="C152" s="4" t="s">
        <v>494</v>
      </c>
      <c r="D152" s="4" t="s">
        <v>494</v>
      </c>
      <c r="E152" s="4" t="s">
        <v>494</v>
      </c>
      <c r="F152" s="4" t="s">
        <v>494</v>
      </c>
    </row>
    <row r="153" spans="1:6" ht="16.5" customHeight="1">
      <c r="A153" s="4" t="s">
        <v>440</v>
      </c>
      <c r="B153" s="4" t="s">
        <v>493</v>
      </c>
      <c r="C153" s="4" t="s">
        <v>494</v>
      </c>
      <c r="D153" s="4" t="s">
        <v>494</v>
      </c>
      <c r="E153" s="4" t="s">
        <v>494</v>
      </c>
      <c r="F153" s="4" t="s">
        <v>494</v>
      </c>
    </row>
    <row r="154" spans="1:6" ht="16.5" customHeight="1">
      <c r="A154" s="4" t="s">
        <v>428</v>
      </c>
      <c r="B154" s="4" t="s">
        <v>493</v>
      </c>
      <c r="C154" s="4" t="s">
        <v>494</v>
      </c>
      <c r="D154" s="4" t="s">
        <v>495</v>
      </c>
      <c r="E154" s="4" t="s">
        <v>494</v>
      </c>
      <c r="F154" s="4" t="s">
        <v>494</v>
      </c>
    </row>
    <row r="155" spans="1:6" ht="16.5" customHeight="1">
      <c r="A155" s="4" t="s">
        <v>429</v>
      </c>
      <c r="B155" s="4" t="s">
        <v>493</v>
      </c>
      <c r="C155" s="4" t="s">
        <v>494</v>
      </c>
      <c r="D155" s="4" t="s">
        <v>495</v>
      </c>
      <c r="E155" s="4" t="s">
        <v>494</v>
      </c>
      <c r="F155" s="4" t="s">
        <v>494</v>
      </c>
    </row>
    <row r="156" spans="1:6" ht="16.5" customHeight="1">
      <c r="A156" s="4" t="s">
        <v>418</v>
      </c>
      <c r="B156" s="4" t="s">
        <v>493</v>
      </c>
      <c r="C156" s="4" t="s">
        <v>495</v>
      </c>
      <c r="D156" s="4" t="s">
        <v>495</v>
      </c>
      <c r="E156" s="4" t="s">
        <v>494</v>
      </c>
      <c r="F156" s="4" t="s">
        <v>494</v>
      </c>
    </row>
    <row r="157" spans="1:6" ht="16.5" customHeight="1">
      <c r="A157" s="4" t="s">
        <v>422</v>
      </c>
      <c r="B157" s="4" t="s">
        <v>493</v>
      </c>
      <c r="C157" s="4" t="s">
        <v>495</v>
      </c>
      <c r="D157" s="4" t="s">
        <v>495</v>
      </c>
      <c r="E157" s="4" t="s">
        <v>494</v>
      </c>
      <c r="F157" s="4" t="s">
        <v>494</v>
      </c>
    </row>
    <row r="158" spans="1:6" ht="16.5" customHeight="1">
      <c r="A158" s="4" t="s">
        <v>426</v>
      </c>
      <c r="B158" s="4" t="s">
        <v>493</v>
      </c>
      <c r="C158" s="4" t="s">
        <v>495</v>
      </c>
      <c r="D158" s="4" t="s">
        <v>495</v>
      </c>
      <c r="E158" s="4" t="s">
        <v>494</v>
      </c>
      <c r="F158" s="4" t="s">
        <v>494</v>
      </c>
    </row>
    <row r="159" spans="1:6" ht="16.5" customHeight="1">
      <c r="A159" s="4" t="s">
        <v>424</v>
      </c>
      <c r="B159" s="4" t="s">
        <v>493</v>
      </c>
      <c r="C159" s="4" t="s">
        <v>495</v>
      </c>
      <c r="D159" s="4" t="s">
        <v>495</v>
      </c>
      <c r="E159" s="4" t="s">
        <v>494</v>
      </c>
      <c r="F159" s="4" t="s">
        <v>494</v>
      </c>
    </row>
    <row r="160" spans="1:6" ht="16.5" customHeight="1">
      <c r="A160" s="4" t="s">
        <v>420</v>
      </c>
      <c r="B160" s="4" t="s">
        <v>493</v>
      </c>
      <c r="C160" s="4" t="s">
        <v>495</v>
      </c>
      <c r="D160" s="4" t="s">
        <v>495</v>
      </c>
      <c r="E160" s="4" t="s">
        <v>494</v>
      </c>
      <c r="F160" s="4" t="s">
        <v>494</v>
      </c>
    </row>
    <row r="161" spans="1:6" ht="16.5" customHeight="1">
      <c r="A161" s="4" t="s">
        <v>417</v>
      </c>
      <c r="B161" s="4" t="s">
        <v>493</v>
      </c>
      <c r="C161" s="4" t="s">
        <v>495</v>
      </c>
      <c r="D161" s="4" t="s">
        <v>495</v>
      </c>
      <c r="E161" s="4" t="s">
        <v>494</v>
      </c>
      <c r="F161" s="4" t="s">
        <v>494</v>
      </c>
    </row>
    <row r="162" spans="1:6" ht="16.5" customHeight="1">
      <c r="A162" s="4" t="s">
        <v>421</v>
      </c>
      <c r="B162" s="4" t="s">
        <v>493</v>
      </c>
      <c r="C162" s="4" t="s">
        <v>495</v>
      </c>
      <c r="D162" s="4" t="s">
        <v>495</v>
      </c>
      <c r="E162" s="4" t="s">
        <v>494</v>
      </c>
      <c r="F162" s="4" t="s">
        <v>494</v>
      </c>
    </row>
    <row r="163" spans="1:6" ht="16.5" customHeight="1">
      <c r="A163" s="4" t="s">
        <v>419</v>
      </c>
      <c r="B163" s="4" t="s">
        <v>493</v>
      </c>
      <c r="C163" s="4" t="s">
        <v>495</v>
      </c>
      <c r="D163" s="4" t="s">
        <v>495</v>
      </c>
      <c r="E163" s="4" t="s">
        <v>494</v>
      </c>
      <c r="F163" s="4" t="s">
        <v>494</v>
      </c>
    </row>
    <row r="164" spans="1:6" ht="16.5" customHeight="1">
      <c r="A164" s="4" t="s">
        <v>423</v>
      </c>
      <c r="B164" s="4" t="s">
        <v>493</v>
      </c>
      <c r="C164" s="4" t="s">
        <v>495</v>
      </c>
      <c r="D164" s="4" t="s">
        <v>495</v>
      </c>
      <c r="E164" s="4" t="s">
        <v>494</v>
      </c>
      <c r="F164" s="4" t="s">
        <v>494</v>
      </c>
    </row>
    <row r="165" spans="1:6" ht="16.5" customHeight="1">
      <c r="A165" s="4" t="s">
        <v>425</v>
      </c>
      <c r="B165" s="4" t="s">
        <v>493</v>
      </c>
      <c r="C165" s="4" t="s">
        <v>495</v>
      </c>
      <c r="D165" s="4" t="s">
        <v>495</v>
      </c>
      <c r="E165" s="4" t="s">
        <v>494</v>
      </c>
      <c r="F165" s="4" t="s">
        <v>494</v>
      </c>
    </row>
    <row r="166" spans="1:6" ht="16.5" customHeight="1">
      <c r="A166" s="4" t="s">
        <v>430</v>
      </c>
      <c r="B166" s="4" t="s">
        <v>493</v>
      </c>
      <c r="C166" s="4" t="s">
        <v>495</v>
      </c>
      <c r="D166" s="4" t="s">
        <v>495</v>
      </c>
      <c r="E166" s="4" t="s">
        <v>494</v>
      </c>
      <c r="F166" s="4" t="s">
        <v>494</v>
      </c>
    </row>
    <row r="167" spans="1:6" ht="16.5" customHeight="1">
      <c r="A167" s="4" t="s">
        <v>432</v>
      </c>
      <c r="B167" s="4" t="s">
        <v>493</v>
      </c>
      <c r="C167" s="4" t="s">
        <v>495</v>
      </c>
      <c r="D167" s="4" t="s">
        <v>495</v>
      </c>
      <c r="E167" s="4" t="s">
        <v>494</v>
      </c>
      <c r="F167" s="4" t="s">
        <v>494</v>
      </c>
    </row>
    <row r="168" spans="1:6" ht="16.5" customHeight="1">
      <c r="A168" s="4" t="s">
        <v>427</v>
      </c>
      <c r="B168" s="4" t="s">
        <v>493</v>
      </c>
      <c r="C168" s="4" t="s">
        <v>495</v>
      </c>
      <c r="D168" s="4" t="s">
        <v>495</v>
      </c>
      <c r="E168" s="4" t="s">
        <v>494</v>
      </c>
      <c r="F168" s="4" t="s">
        <v>494</v>
      </c>
    </row>
    <row r="169" spans="1:6" ht="16.5" customHeight="1">
      <c r="A169" s="4" t="s">
        <v>431</v>
      </c>
      <c r="B169" s="4" t="s">
        <v>493</v>
      </c>
      <c r="C169" s="4" t="s">
        <v>495</v>
      </c>
      <c r="D169" s="4" t="s">
        <v>495</v>
      </c>
      <c r="E169" s="4" t="s">
        <v>494</v>
      </c>
      <c r="F169" s="4" t="s">
        <v>494</v>
      </c>
    </row>
    <row r="170" spans="1:6" ht="16.5" customHeight="1">
      <c r="A170" s="4" t="s">
        <v>412</v>
      </c>
      <c r="B170" s="4" t="s">
        <v>493</v>
      </c>
      <c r="C170" s="4" t="s">
        <v>495</v>
      </c>
      <c r="D170" s="4" t="s">
        <v>495</v>
      </c>
      <c r="E170" s="4" t="s">
        <v>494</v>
      </c>
      <c r="F170" s="4" t="s">
        <v>494</v>
      </c>
    </row>
    <row r="171" spans="1:6" ht="16.5" customHeight="1">
      <c r="A171" s="4" t="s">
        <v>411</v>
      </c>
      <c r="B171" s="4" t="s">
        <v>493</v>
      </c>
      <c r="C171" s="4" t="s">
        <v>495</v>
      </c>
      <c r="D171" s="4" t="s">
        <v>495</v>
      </c>
      <c r="E171" s="4" t="s">
        <v>494</v>
      </c>
      <c r="F171" s="4" t="s">
        <v>494</v>
      </c>
    </row>
    <row r="172" spans="1:6" ht="16.5" customHeight="1">
      <c r="A172" s="4" t="s">
        <v>401</v>
      </c>
      <c r="B172" s="4" t="s">
        <v>493</v>
      </c>
      <c r="C172" s="4" t="s">
        <v>495</v>
      </c>
      <c r="D172" s="4" t="s">
        <v>495</v>
      </c>
      <c r="E172" s="4" t="s">
        <v>494</v>
      </c>
      <c r="F172" s="4" t="s">
        <v>494</v>
      </c>
    </row>
    <row r="173" spans="1:6" ht="16.5" customHeight="1">
      <c r="A173" s="4" t="s">
        <v>408</v>
      </c>
      <c r="B173" s="4" t="s">
        <v>493</v>
      </c>
      <c r="C173" s="4" t="s">
        <v>495</v>
      </c>
      <c r="D173" s="4" t="s">
        <v>495</v>
      </c>
      <c r="E173" s="4" t="s">
        <v>494</v>
      </c>
      <c r="F173" s="4" t="s">
        <v>494</v>
      </c>
    </row>
    <row r="174" spans="1:6" ht="16.5" customHeight="1">
      <c r="A174" s="4" t="s">
        <v>413</v>
      </c>
      <c r="B174" s="4" t="s">
        <v>493</v>
      </c>
      <c r="C174" s="4" t="s">
        <v>495</v>
      </c>
      <c r="D174" s="4" t="s">
        <v>495</v>
      </c>
      <c r="E174" s="4" t="s">
        <v>494</v>
      </c>
      <c r="F174" s="4" t="s">
        <v>494</v>
      </c>
    </row>
    <row r="175" spans="1:6" ht="16.5" customHeight="1">
      <c r="A175" s="4" t="s">
        <v>403</v>
      </c>
      <c r="B175" s="4" t="s">
        <v>493</v>
      </c>
      <c r="C175" s="4" t="s">
        <v>495</v>
      </c>
      <c r="D175" s="4" t="s">
        <v>495</v>
      </c>
      <c r="E175" s="4" t="s">
        <v>494</v>
      </c>
      <c r="F175" s="4" t="s">
        <v>494</v>
      </c>
    </row>
    <row r="176" spans="1:6" ht="16.5" customHeight="1">
      <c r="A176" s="4" t="s">
        <v>402</v>
      </c>
      <c r="B176" s="4" t="s">
        <v>493</v>
      </c>
      <c r="C176" s="4" t="s">
        <v>495</v>
      </c>
      <c r="D176" s="4" t="s">
        <v>495</v>
      </c>
      <c r="E176" s="4" t="s">
        <v>494</v>
      </c>
      <c r="F176" s="4" t="s">
        <v>494</v>
      </c>
    </row>
    <row r="177" spans="1:6" ht="16.5" customHeight="1">
      <c r="A177" s="4" t="s">
        <v>407</v>
      </c>
      <c r="B177" s="4" t="s">
        <v>493</v>
      </c>
      <c r="C177" s="4" t="s">
        <v>495</v>
      </c>
      <c r="D177" s="4" t="s">
        <v>495</v>
      </c>
      <c r="E177" s="4" t="s">
        <v>494</v>
      </c>
      <c r="F177" s="4" t="s">
        <v>494</v>
      </c>
    </row>
    <row r="178" spans="1:6" ht="16.5" customHeight="1">
      <c r="A178" s="4" t="s">
        <v>414</v>
      </c>
      <c r="B178" s="4" t="s">
        <v>493</v>
      </c>
      <c r="C178" s="4" t="s">
        <v>495</v>
      </c>
      <c r="D178" s="4" t="s">
        <v>495</v>
      </c>
      <c r="E178" s="4" t="s">
        <v>494</v>
      </c>
      <c r="F178" s="4" t="s">
        <v>494</v>
      </c>
    </row>
    <row r="179" spans="1:6" ht="16.5" customHeight="1">
      <c r="A179" s="4" t="s">
        <v>404</v>
      </c>
      <c r="B179" s="4" t="s">
        <v>493</v>
      </c>
      <c r="C179" s="4" t="s">
        <v>495</v>
      </c>
      <c r="D179" s="4" t="s">
        <v>495</v>
      </c>
      <c r="E179" s="4" t="s">
        <v>494</v>
      </c>
      <c r="F179" s="4" t="s">
        <v>494</v>
      </c>
    </row>
    <row r="180" spans="1:6" ht="16.5" customHeight="1">
      <c r="A180" s="4" t="s">
        <v>410</v>
      </c>
      <c r="B180" s="4" t="s">
        <v>493</v>
      </c>
      <c r="C180" s="4" t="s">
        <v>495</v>
      </c>
      <c r="D180" s="4" t="s">
        <v>495</v>
      </c>
      <c r="E180" s="4" t="s">
        <v>494</v>
      </c>
      <c r="F180" s="4" t="s">
        <v>494</v>
      </c>
    </row>
    <row r="181" spans="1:6" ht="16.5" customHeight="1">
      <c r="A181" s="4" t="s">
        <v>409</v>
      </c>
      <c r="B181" s="4" t="s">
        <v>493</v>
      </c>
      <c r="C181" s="4" t="s">
        <v>495</v>
      </c>
      <c r="D181" s="4" t="s">
        <v>495</v>
      </c>
      <c r="E181" s="4" t="s">
        <v>494</v>
      </c>
      <c r="F181" s="4" t="s">
        <v>494</v>
      </c>
    </row>
    <row r="182" spans="1:6" ht="16.5" customHeight="1">
      <c r="A182" s="4" t="s">
        <v>406</v>
      </c>
      <c r="B182" s="4" t="s">
        <v>493</v>
      </c>
      <c r="C182" s="4" t="s">
        <v>495</v>
      </c>
      <c r="D182" s="4" t="s">
        <v>495</v>
      </c>
      <c r="E182" s="4" t="s">
        <v>494</v>
      </c>
      <c r="F182" s="4" t="s">
        <v>494</v>
      </c>
    </row>
    <row r="183" spans="1:6" ht="16.5" customHeight="1">
      <c r="A183" s="4" t="s">
        <v>400</v>
      </c>
      <c r="B183" s="4" t="s">
        <v>493</v>
      </c>
      <c r="C183" s="4" t="s">
        <v>495</v>
      </c>
      <c r="D183" s="4" t="s">
        <v>495</v>
      </c>
      <c r="E183" s="4" t="s">
        <v>494</v>
      </c>
      <c r="F183" s="4" t="s">
        <v>494</v>
      </c>
    </row>
    <row r="184" spans="1:6" ht="16.5" customHeight="1">
      <c r="A184" s="4" t="s">
        <v>405</v>
      </c>
      <c r="B184" s="4" t="s">
        <v>493</v>
      </c>
      <c r="C184" s="4" t="s">
        <v>495</v>
      </c>
      <c r="D184" s="4" t="s">
        <v>495</v>
      </c>
      <c r="E184" s="4" t="s">
        <v>494</v>
      </c>
      <c r="F184" s="4" t="s">
        <v>494</v>
      </c>
    </row>
    <row r="185" spans="1:6" ht="16.5" customHeight="1">
      <c r="A185" s="4" t="s">
        <v>385</v>
      </c>
      <c r="B185" s="4" t="s">
        <v>495</v>
      </c>
      <c r="C185" s="4" t="s">
        <v>495</v>
      </c>
      <c r="D185" s="4" t="s">
        <v>495</v>
      </c>
      <c r="E185" s="4" t="s">
        <v>494</v>
      </c>
      <c r="F185" s="4" t="s">
        <v>494</v>
      </c>
    </row>
    <row r="186" spans="1:6" ht="16.5" customHeight="1">
      <c r="A186" s="4" t="s">
        <v>390</v>
      </c>
      <c r="B186" s="4" t="s">
        <v>495</v>
      </c>
      <c r="C186" s="4" t="s">
        <v>495</v>
      </c>
      <c r="D186" s="4" t="s">
        <v>495</v>
      </c>
      <c r="E186" s="4" t="s">
        <v>494</v>
      </c>
      <c r="F186" s="4" t="s">
        <v>494</v>
      </c>
    </row>
    <row r="187" spans="1:6" ht="16.5" customHeight="1">
      <c r="A187" s="4" t="s">
        <v>388</v>
      </c>
      <c r="B187" s="4" t="s">
        <v>495</v>
      </c>
      <c r="C187" s="4" t="s">
        <v>495</v>
      </c>
      <c r="D187" s="4" t="s">
        <v>495</v>
      </c>
      <c r="E187" s="4" t="s">
        <v>494</v>
      </c>
      <c r="F187" s="4" t="s">
        <v>494</v>
      </c>
    </row>
    <row r="188" spans="1:6" ht="16.5" customHeight="1">
      <c r="A188" s="4" t="s">
        <v>383</v>
      </c>
      <c r="B188" s="4" t="s">
        <v>495</v>
      </c>
      <c r="C188" s="4" t="s">
        <v>495</v>
      </c>
      <c r="D188" s="4" t="s">
        <v>495</v>
      </c>
      <c r="E188" s="4" t="s">
        <v>494</v>
      </c>
      <c r="F188" s="4" t="s">
        <v>494</v>
      </c>
    </row>
    <row r="189" spans="1:6" ht="16.5" customHeight="1">
      <c r="A189" s="4" t="s">
        <v>381</v>
      </c>
      <c r="B189" s="4" t="s">
        <v>495</v>
      </c>
      <c r="C189" s="4" t="s">
        <v>495</v>
      </c>
      <c r="D189" s="4" t="s">
        <v>495</v>
      </c>
      <c r="E189" s="4" t="s">
        <v>494</v>
      </c>
      <c r="F189" s="4" t="s">
        <v>494</v>
      </c>
    </row>
    <row r="190" spans="1:6" ht="16.5" customHeight="1">
      <c r="A190" s="4" t="s">
        <v>384</v>
      </c>
      <c r="B190" s="4" t="s">
        <v>495</v>
      </c>
      <c r="C190" s="4" t="s">
        <v>495</v>
      </c>
      <c r="D190" s="4" t="s">
        <v>495</v>
      </c>
      <c r="E190" s="4" t="s">
        <v>494</v>
      </c>
      <c r="F190" s="4" t="s">
        <v>494</v>
      </c>
    </row>
    <row r="191" spans="1:6" ht="16.5" customHeight="1">
      <c r="A191" s="4" t="s">
        <v>380</v>
      </c>
      <c r="B191" s="4" t="s">
        <v>495</v>
      </c>
      <c r="C191" s="4" t="s">
        <v>495</v>
      </c>
      <c r="D191" s="4" t="s">
        <v>495</v>
      </c>
      <c r="E191" s="4" t="s">
        <v>494</v>
      </c>
      <c r="F191" s="4" t="s">
        <v>494</v>
      </c>
    </row>
    <row r="192" spans="1:6" ht="16.5" customHeight="1">
      <c r="A192" s="4" t="s">
        <v>382</v>
      </c>
      <c r="B192" s="4" t="s">
        <v>495</v>
      </c>
      <c r="C192" s="4" t="s">
        <v>495</v>
      </c>
      <c r="D192" s="4" t="s">
        <v>495</v>
      </c>
      <c r="E192" s="4" t="s">
        <v>494</v>
      </c>
      <c r="F192" s="4" t="s">
        <v>494</v>
      </c>
    </row>
    <row r="193" spans="1:6" ht="16.5" customHeight="1">
      <c r="A193" s="4" t="s">
        <v>379</v>
      </c>
      <c r="B193" s="4" t="s">
        <v>495</v>
      </c>
      <c r="C193" s="4" t="s">
        <v>495</v>
      </c>
      <c r="D193" s="4" t="s">
        <v>495</v>
      </c>
      <c r="E193" s="4" t="s">
        <v>494</v>
      </c>
      <c r="F193" s="4" t="s">
        <v>494</v>
      </c>
    </row>
    <row r="194" spans="1:6" ht="16.5" customHeight="1">
      <c r="A194" s="4" t="s">
        <v>387</v>
      </c>
      <c r="B194" s="4" t="s">
        <v>495</v>
      </c>
      <c r="C194" s="4" t="s">
        <v>495</v>
      </c>
      <c r="D194" s="4" t="s">
        <v>495</v>
      </c>
      <c r="E194" s="4" t="s">
        <v>494</v>
      </c>
      <c r="F194" s="4" t="s">
        <v>494</v>
      </c>
    </row>
    <row r="195" spans="1:6" ht="16.5" customHeight="1">
      <c r="A195" s="4" t="s">
        <v>399</v>
      </c>
      <c r="B195" s="4" t="s">
        <v>495</v>
      </c>
      <c r="C195" s="4" t="s">
        <v>495</v>
      </c>
      <c r="D195" s="4" t="s">
        <v>495</v>
      </c>
      <c r="E195" s="4" t="s">
        <v>494</v>
      </c>
      <c r="F195" s="4" t="s">
        <v>494</v>
      </c>
    </row>
    <row r="196" spans="1:6" ht="16.5" customHeight="1">
      <c r="A196" s="4" t="s">
        <v>395</v>
      </c>
      <c r="B196" s="4" t="s">
        <v>495</v>
      </c>
      <c r="C196" s="4" t="s">
        <v>495</v>
      </c>
      <c r="D196" s="4" t="s">
        <v>495</v>
      </c>
      <c r="E196" s="4" t="s">
        <v>494</v>
      </c>
      <c r="F196" s="4" t="s">
        <v>494</v>
      </c>
    </row>
    <row r="197" spans="1:6" ht="16.5" customHeight="1">
      <c r="A197" s="4" t="s">
        <v>378</v>
      </c>
      <c r="B197" s="4" t="s">
        <v>495</v>
      </c>
      <c r="C197" s="4" t="s">
        <v>495</v>
      </c>
      <c r="D197" s="4" t="s">
        <v>495</v>
      </c>
      <c r="E197" s="4" t="s">
        <v>494</v>
      </c>
      <c r="F197" s="4" t="s">
        <v>494</v>
      </c>
    </row>
    <row r="198" spans="1:6" ht="16.5" customHeight="1">
      <c r="A198" s="4" t="s">
        <v>398</v>
      </c>
      <c r="B198" s="4" t="s">
        <v>495</v>
      </c>
      <c r="C198" s="4" t="s">
        <v>495</v>
      </c>
      <c r="D198" s="4" t="s">
        <v>495</v>
      </c>
      <c r="E198" s="4" t="s">
        <v>494</v>
      </c>
      <c r="F198" s="4" t="s">
        <v>494</v>
      </c>
    </row>
    <row r="199" spans="1:6" ht="16.5" customHeight="1">
      <c r="A199" s="4" t="s">
        <v>392</v>
      </c>
      <c r="B199" s="4" t="s">
        <v>495</v>
      </c>
      <c r="C199" s="4" t="s">
        <v>495</v>
      </c>
      <c r="D199" s="4" t="s">
        <v>495</v>
      </c>
      <c r="E199" s="4" t="s">
        <v>494</v>
      </c>
      <c r="F199" s="4" t="s">
        <v>494</v>
      </c>
    </row>
    <row r="200" spans="1:6" ht="16.5" customHeight="1">
      <c r="A200" s="4" t="s">
        <v>386</v>
      </c>
      <c r="B200" s="4" t="s">
        <v>495</v>
      </c>
      <c r="C200" s="4" t="s">
        <v>495</v>
      </c>
      <c r="D200" s="4" t="s">
        <v>495</v>
      </c>
      <c r="E200" s="4" t="s">
        <v>494</v>
      </c>
      <c r="F200" s="4" t="s">
        <v>494</v>
      </c>
    </row>
    <row r="201" spans="1:6" ht="16.5" customHeight="1">
      <c r="A201" s="4" t="s">
        <v>397</v>
      </c>
      <c r="B201" s="4" t="s">
        <v>495</v>
      </c>
      <c r="C201" s="4" t="s">
        <v>495</v>
      </c>
      <c r="D201" s="4" t="s">
        <v>495</v>
      </c>
      <c r="E201" s="4" t="s">
        <v>494</v>
      </c>
      <c r="F201" s="4" t="s">
        <v>494</v>
      </c>
    </row>
    <row r="202" spans="1:6" ht="16.5" customHeight="1">
      <c r="A202" s="4" t="s">
        <v>391</v>
      </c>
      <c r="B202" s="4" t="s">
        <v>495</v>
      </c>
      <c r="C202" s="4" t="s">
        <v>495</v>
      </c>
      <c r="D202" s="4" t="s">
        <v>495</v>
      </c>
      <c r="E202" s="4" t="s">
        <v>494</v>
      </c>
      <c r="F202" s="4" t="s">
        <v>494</v>
      </c>
    </row>
    <row r="203" spans="1:6" ht="16.5" customHeight="1">
      <c r="A203" s="4" t="s">
        <v>394</v>
      </c>
      <c r="B203" s="4" t="s">
        <v>495</v>
      </c>
      <c r="C203" s="4" t="s">
        <v>495</v>
      </c>
      <c r="D203" s="4" t="s">
        <v>495</v>
      </c>
      <c r="E203" s="4" t="s">
        <v>494</v>
      </c>
      <c r="F203" s="4" t="s">
        <v>494</v>
      </c>
    </row>
    <row r="204" spans="1:6" ht="16.5" customHeight="1">
      <c r="A204" s="4" t="s">
        <v>393</v>
      </c>
      <c r="B204" s="4" t="s">
        <v>495</v>
      </c>
      <c r="C204" s="4" t="s">
        <v>495</v>
      </c>
      <c r="D204" s="4" t="s">
        <v>495</v>
      </c>
      <c r="E204" s="4" t="s">
        <v>494</v>
      </c>
      <c r="F204" s="4" t="s">
        <v>494</v>
      </c>
    </row>
    <row r="205" spans="1:6" ht="16.5" customHeight="1">
      <c r="A205" s="4" t="s">
        <v>396</v>
      </c>
      <c r="B205" s="4" t="s">
        <v>495</v>
      </c>
      <c r="C205" s="4" t="s">
        <v>495</v>
      </c>
      <c r="D205" s="4" t="s">
        <v>495</v>
      </c>
      <c r="E205" s="4" t="s">
        <v>494</v>
      </c>
      <c r="F205" s="4" t="s">
        <v>494</v>
      </c>
    </row>
    <row r="206" spans="1:6" ht="16.5" customHeight="1">
      <c r="A206" s="4" t="s">
        <v>389</v>
      </c>
      <c r="B206" s="4" t="s">
        <v>495</v>
      </c>
      <c r="C206" s="4" t="s">
        <v>495</v>
      </c>
      <c r="D206" s="4" t="s">
        <v>495</v>
      </c>
      <c r="E206" s="4" t="s">
        <v>494</v>
      </c>
      <c r="F206" s="4" t="s">
        <v>494</v>
      </c>
    </row>
    <row r="207" spans="1:6" ht="16.5" customHeight="1">
      <c r="A207" s="4" t="s">
        <v>301</v>
      </c>
      <c r="B207" s="4" t="s">
        <v>495</v>
      </c>
      <c r="C207" s="4" t="s">
        <v>495</v>
      </c>
      <c r="D207" s="4" t="s">
        <v>495</v>
      </c>
      <c r="E207" s="4" t="s">
        <v>494</v>
      </c>
      <c r="F207" s="4" t="s">
        <v>494</v>
      </c>
    </row>
    <row r="208" spans="1:6" ht="16.5" customHeight="1">
      <c r="A208" s="4" t="s">
        <v>302</v>
      </c>
      <c r="B208" s="4" t="s">
        <v>495</v>
      </c>
      <c r="C208" s="4" t="s">
        <v>495</v>
      </c>
      <c r="D208" s="4" t="s">
        <v>495</v>
      </c>
      <c r="E208" s="4" t="s">
        <v>494</v>
      </c>
      <c r="F208" s="4" t="s">
        <v>494</v>
      </c>
    </row>
    <row r="209" spans="1:6" ht="16.5" customHeight="1">
      <c r="A209" s="4" t="s">
        <v>281</v>
      </c>
      <c r="B209" s="4" t="s">
        <v>495</v>
      </c>
      <c r="C209" s="4" t="s">
        <v>495</v>
      </c>
      <c r="D209" s="4" t="s">
        <v>495</v>
      </c>
      <c r="E209" s="4" t="s">
        <v>494</v>
      </c>
      <c r="F209" s="4" t="s">
        <v>494</v>
      </c>
    </row>
    <row r="210" spans="1:6" ht="16.5" customHeight="1">
      <c r="A210" s="4" t="s">
        <v>284</v>
      </c>
      <c r="B210" s="4" t="s">
        <v>493</v>
      </c>
      <c r="C210" s="4" t="s">
        <v>495</v>
      </c>
      <c r="D210" s="4" t="s">
        <v>495</v>
      </c>
      <c r="E210" s="4" t="s">
        <v>494</v>
      </c>
      <c r="F210" s="4" t="s">
        <v>494</v>
      </c>
    </row>
    <row r="211" spans="1:6" ht="16.5" customHeight="1">
      <c r="A211" s="4" t="s">
        <v>289</v>
      </c>
      <c r="B211" s="4" t="s">
        <v>493</v>
      </c>
      <c r="C211" s="4" t="s">
        <v>495</v>
      </c>
      <c r="D211" s="4" t="s">
        <v>495</v>
      </c>
      <c r="E211" s="4" t="s">
        <v>494</v>
      </c>
      <c r="F211" s="4" t="s">
        <v>494</v>
      </c>
    </row>
    <row r="212" spans="1:6" ht="16.5" customHeight="1">
      <c r="A212" s="4" t="s">
        <v>283</v>
      </c>
      <c r="B212" s="4" t="s">
        <v>493</v>
      </c>
      <c r="C212" s="4" t="s">
        <v>495</v>
      </c>
      <c r="D212" s="4" t="s">
        <v>495</v>
      </c>
      <c r="E212" s="4" t="s">
        <v>494</v>
      </c>
      <c r="F212" s="4" t="s">
        <v>494</v>
      </c>
    </row>
    <row r="213" spans="1:6" ht="16.5" customHeight="1">
      <c r="A213" s="4" t="s">
        <v>292</v>
      </c>
      <c r="B213" s="4" t="s">
        <v>493</v>
      </c>
      <c r="C213" s="4" t="s">
        <v>495</v>
      </c>
      <c r="D213" s="4" t="s">
        <v>495</v>
      </c>
      <c r="E213" s="4" t="s">
        <v>494</v>
      </c>
      <c r="F213" s="4" t="s">
        <v>494</v>
      </c>
    </row>
    <row r="214" spans="1:6" ht="16.5" customHeight="1">
      <c r="A214" s="4" t="s">
        <v>293</v>
      </c>
      <c r="B214" s="4" t="s">
        <v>493</v>
      </c>
      <c r="C214" s="4" t="s">
        <v>495</v>
      </c>
      <c r="D214" s="4" t="s">
        <v>495</v>
      </c>
      <c r="E214" s="4" t="s">
        <v>494</v>
      </c>
      <c r="F214" s="4" t="s">
        <v>494</v>
      </c>
    </row>
    <row r="215" spans="1:6" ht="16.5" customHeight="1">
      <c r="A215" s="4" t="s">
        <v>287</v>
      </c>
      <c r="B215" s="4" t="s">
        <v>493</v>
      </c>
      <c r="C215" s="4" t="s">
        <v>495</v>
      </c>
      <c r="D215" s="4" t="s">
        <v>495</v>
      </c>
      <c r="E215" s="4" t="s">
        <v>494</v>
      </c>
      <c r="F215" s="4" t="s">
        <v>494</v>
      </c>
    </row>
    <row r="216" spans="1:6" ht="16.5" customHeight="1">
      <c r="A216" s="4" t="s">
        <v>285</v>
      </c>
      <c r="B216" s="4" t="s">
        <v>493</v>
      </c>
      <c r="C216" s="4" t="s">
        <v>495</v>
      </c>
      <c r="D216" s="4" t="s">
        <v>495</v>
      </c>
      <c r="E216" s="4" t="s">
        <v>494</v>
      </c>
      <c r="F216" s="4" t="s">
        <v>494</v>
      </c>
    </row>
    <row r="217" spans="1:6" ht="16.5" customHeight="1">
      <c r="A217" s="4" t="s">
        <v>280</v>
      </c>
      <c r="B217" s="4" t="s">
        <v>495</v>
      </c>
      <c r="C217" s="4" t="s">
        <v>495</v>
      </c>
      <c r="D217" s="4" t="s">
        <v>495</v>
      </c>
      <c r="E217" s="4" t="s">
        <v>494</v>
      </c>
      <c r="F217" s="4" t="s">
        <v>494</v>
      </c>
    </row>
    <row r="218" spans="1:6" ht="16.5" customHeight="1">
      <c r="A218" s="4" t="s">
        <v>297</v>
      </c>
      <c r="B218" s="4" t="s">
        <v>493</v>
      </c>
      <c r="C218" s="4" t="s">
        <v>495</v>
      </c>
      <c r="D218" s="4" t="s">
        <v>495</v>
      </c>
      <c r="E218" s="4" t="s">
        <v>494</v>
      </c>
      <c r="F218" s="4" t="s">
        <v>494</v>
      </c>
    </row>
    <row r="219" spans="1:6" ht="16.5" customHeight="1">
      <c r="A219" s="4" t="s">
        <v>299</v>
      </c>
      <c r="B219" s="4" t="s">
        <v>495</v>
      </c>
      <c r="C219" s="4" t="s">
        <v>494</v>
      </c>
      <c r="D219" s="4" t="s">
        <v>495</v>
      </c>
      <c r="E219" s="4" t="s">
        <v>494</v>
      </c>
      <c r="F219" s="4" t="s">
        <v>494</v>
      </c>
    </row>
    <row r="220" spans="1:6" ht="16.5" customHeight="1">
      <c r="A220" s="4" t="s">
        <v>291</v>
      </c>
      <c r="B220" s="4" t="s">
        <v>493</v>
      </c>
      <c r="C220" s="4" t="s">
        <v>495</v>
      </c>
      <c r="D220" s="4" t="s">
        <v>495</v>
      </c>
      <c r="E220" s="4" t="s">
        <v>494</v>
      </c>
      <c r="F220" s="4" t="s">
        <v>494</v>
      </c>
    </row>
    <row r="221" spans="1:6" ht="16.5" customHeight="1">
      <c r="A221" s="4" t="s">
        <v>290</v>
      </c>
      <c r="B221" s="4" t="s">
        <v>495</v>
      </c>
      <c r="C221" s="4" t="s">
        <v>495</v>
      </c>
      <c r="D221" s="4" t="s">
        <v>495</v>
      </c>
      <c r="E221" s="4" t="s">
        <v>494</v>
      </c>
      <c r="F221" s="4" t="s">
        <v>494</v>
      </c>
    </row>
    <row r="222" spans="1:6" ht="16.5" customHeight="1">
      <c r="A222" s="4" t="s">
        <v>298</v>
      </c>
      <c r="B222" s="4" t="s">
        <v>495</v>
      </c>
      <c r="C222" s="4" t="s">
        <v>495</v>
      </c>
      <c r="D222" s="4" t="s">
        <v>495</v>
      </c>
      <c r="E222" s="4" t="s">
        <v>494</v>
      </c>
      <c r="F222" s="4" t="s">
        <v>494</v>
      </c>
    </row>
    <row r="223" spans="1:6" ht="16.5" customHeight="1">
      <c r="A223" s="4" t="s">
        <v>282</v>
      </c>
      <c r="B223" s="4" t="s">
        <v>493</v>
      </c>
      <c r="C223" s="4" t="s">
        <v>495</v>
      </c>
      <c r="D223" s="4" t="s">
        <v>495</v>
      </c>
      <c r="E223" s="4" t="s">
        <v>494</v>
      </c>
      <c r="F223" s="4" t="s">
        <v>494</v>
      </c>
    </row>
    <row r="224" spans="1:6" ht="16.5" customHeight="1">
      <c r="A224" s="4" t="s">
        <v>288</v>
      </c>
      <c r="B224" s="4" t="s">
        <v>493</v>
      </c>
      <c r="C224" s="4" t="s">
        <v>495</v>
      </c>
      <c r="D224" s="4" t="s">
        <v>495</v>
      </c>
      <c r="E224" s="4" t="s">
        <v>494</v>
      </c>
      <c r="F224" s="4" t="s">
        <v>494</v>
      </c>
    </row>
    <row r="225" spans="1:6" ht="16.5" customHeight="1">
      <c r="A225" s="4" t="s">
        <v>300</v>
      </c>
      <c r="B225" s="4" t="s">
        <v>493</v>
      </c>
      <c r="C225" s="4" t="s">
        <v>495</v>
      </c>
      <c r="D225" s="4" t="s">
        <v>495</v>
      </c>
      <c r="E225" s="4" t="s">
        <v>494</v>
      </c>
      <c r="F225" s="4" t="s">
        <v>494</v>
      </c>
    </row>
    <row r="226" spans="1:6" ht="16.5" customHeight="1">
      <c r="A226" s="4" t="s">
        <v>294</v>
      </c>
      <c r="B226" s="4" t="s">
        <v>493</v>
      </c>
      <c r="C226" s="4" t="s">
        <v>495</v>
      </c>
      <c r="D226" s="4" t="s">
        <v>495</v>
      </c>
      <c r="E226" s="4" t="s">
        <v>494</v>
      </c>
      <c r="F226" s="4" t="s">
        <v>494</v>
      </c>
    </row>
    <row r="227" spans="1:6" ht="16.5" customHeight="1">
      <c r="A227" s="4" t="s">
        <v>286</v>
      </c>
      <c r="B227" s="4" t="s">
        <v>495</v>
      </c>
      <c r="C227" s="4" t="s">
        <v>495</v>
      </c>
      <c r="D227" s="4" t="s">
        <v>495</v>
      </c>
      <c r="E227" s="4" t="s">
        <v>494</v>
      </c>
      <c r="F227" s="4" t="s">
        <v>494</v>
      </c>
    </row>
    <row r="228" spans="1:6" ht="16.5" customHeight="1">
      <c r="A228" s="4" t="s">
        <v>296</v>
      </c>
      <c r="B228" s="4" t="s">
        <v>495</v>
      </c>
      <c r="C228" s="4" t="s">
        <v>495</v>
      </c>
      <c r="D228" s="4" t="s">
        <v>495</v>
      </c>
      <c r="E228" s="4" t="s">
        <v>494</v>
      </c>
      <c r="F228" s="4" t="s">
        <v>494</v>
      </c>
    </row>
    <row r="229" spans="1:6" ht="16.5" customHeight="1">
      <c r="A229" s="4" t="s">
        <v>295</v>
      </c>
      <c r="B229" s="4" t="s">
        <v>493</v>
      </c>
      <c r="C229" s="4" t="s">
        <v>495</v>
      </c>
      <c r="D229" s="4" t="s">
        <v>495</v>
      </c>
      <c r="E229" s="4" t="s">
        <v>494</v>
      </c>
      <c r="F229" s="4" t="s">
        <v>494</v>
      </c>
    </row>
    <row r="230" spans="1:6" ht="16.5" customHeight="1">
      <c r="A230" s="4" t="s">
        <v>268</v>
      </c>
      <c r="B230" s="4" t="s">
        <v>495</v>
      </c>
      <c r="C230" s="4" t="s">
        <v>495</v>
      </c>
      <c r="D230" s="4" t="s">
        <v>495</v>
      </c>
      <c r="E230" s="4" t="s">
        <v>494</v>
      </c>
      <c r="F230" s="4" t="s">
        <v>494</v>
      </c>
    </row>
    <row r="231" spans="1:6" ht="16.5" customHeight="1">
      <c r="A231" s="4" t="s">
        <v>275</v>
      </c>
      <c r="B231" s="4" t="s">
        <v>495</v>
      </c>
      <c r="C231" s="4" t="s">
        <v>495</v>
      </c>
      <c r="D231" s="4" t="s">
        <v>495</v>
      </c>
      <c r="E231" s="4" t="s">
        <v>494</v>
      </c>
      <c r="F231" s="4" t="s">
        <v>494</v>
      </c>
    </row>
    <row r="232" spans="1:6" ht="16.5" customHeight="1">
      <c r="A232" s="4" t="s">
        <v>264</v>
      </c>
      <c r="B232" s="4" t="s">
        <v>495</v>
      </c>
      <c r="C232" s="4" t="s">
        <v>495</v>
      </c>
      <c r="D232" s="4" t="s">
        <v>495</v>
      </c>
      <c r="E232" s="4" t="s">
        <v>494</v>
      </c>
      <c r="F232" s="4" t="s">
        <v>494</v>
      </c>
    </row>
    <row r="233" spans="1:6" ht="16.5" customHeight="1">
      <c r="A233" s="4" t="s">
        <v>261</v>
      </c>
      <c r="B233" s="4" t="s">
        <v>495</v>
      </c>
      <c r="C233" s="4" t="s">
        <v>495</v>
      </c>
      <c r="D233" s="4" t="s">
        <v>495</v>
      </c>
      <c r="E233" s="4" t="s">
        <v>494</v>
      </c>
      <c r="F233" s="4" t="s">
        <v>494</v>
      </c>
    </row>
    <row r="234" spans="1:6" ht="16.5" customHeight="1">
      <c r="A234" s="4" t="s">
        <v>263</v>
      </c>
      <c r="B234" s="4" t="s">
        <v>495</v>
      </c>
      <c r="C234" s="4" t="s">
        <v>495</v>
      </c>
      <c r="D234" s="4" t="s">
        <v>495</v>
      </c>
      <c r="E234" s="4" t="s">
        <v>494</v>
      </c>
      <c r="F234" s="4" t="s">
        <v>494</v>
      </c>
    </row>
    <row r="235" spans="1:6" ht="16.5" customHeight="1">
      <c r="A235" s="4" t="s">
        <v>258</v>
      </c>
      <c r="B235" s="4" t="s">
        <v>495</v>
      </c>
      <c r="C235" s="4" t="s">
        <v>495</v>
      </c>
      <c r="D235" s="4" t="s">
        <v>495</v>
      </c>
      <c r="E235" s="4" t="s">
        <v>494</v>
      </c>
      <c r="F235" s="4" t="s">
        <v>494</v>
      </c>
    </row>
    <row r="236" spans="1:6" ht="16.5" customHeight="1">
      <c r="A236" s="4" t="s">
        <v>266</v>
      </c>
      <c r="B236" s="4" t="s">
        <v>495</v>
      </c>
      <c r="C236" s="4" t="s">
        <v>495</v>
      </c>
      <c r="D236" s="4" t="s">
        <v>495</v>
      </c>
      <c r="E236" s="4" t="s">
        <v>494</v>
      </c>
      <c r="F236" s="4" t="s">
        <v>494</v>
      </c>
    </row>
    <row r="237" spans="1:6" ht="16.5" customHeight="1">
      <c r="A237" s="4" t="s">
        <v>273</v>
      </c>
      <c r="B237" s="4" t="s">
        <v>495</v>
      </c>
      <c r="C237" s="4" t="s">
        <v>495</v>
      </c>
      <c r="D237" s="4" t="s">
        <v>495</v>
      </c>
      <c r="E237" s="4" t="s">
        <v>494</v>
      </c>
      <c r="F237" s="4" t="s">
        <v>494</v>
      </c>
    </row>
    <row r="238" spans="1:6" ht="16.5" customHeight="1">
      <c r="A238" s="4" t="s">
        <v>272</v>
      </c>
      <c r="B238" s="4" t="s">
        <v>495</v>
      </c>
      <c r="C238" s="4" t="s">
        <v>495</v>
      </c>
      <c r="D238" s="4" t="s">
        <v>495</v>
      </c>
      <c r="E238" s="4" t="s">
        <v>494</v>
      </c>
      <c r="F238" s="4" t="s">
        <v>494</v>
      </c>
    </row>
    <row r="239" spans="1:6" ht="16.5" customHeight="1">
      <c r="A239" s="4" t="s">
        <v>270</v>
      </c>
      <c r="B239" s="4" t="s">
        <v>495</v>
      </c>
      <c r="C239" s="4" t="s">
        <v>495</v>
      </c>
      <c r="D239" s="4" t="s">
        <v>495</v>
      </c>
      <c r="E239" s="4" t="s">
        <v>494</v>
      </c>
      <c r="F239" s="4" t="s">
        <v>494</v>
      </c>
    </row>
    <row r="240" spans="1:6" ht="16.5" customHeight="1">
      <c r="A240" s="4" t="s">
        <v>271</v>
      </c>
      <c r="B240" s="4" t="s">
        <v>495</v>
      </c>
      <c r="C240" s="4" t="s">
        <v>495</v>
      </c>
      <c r="D240" s="4" t="s">
        <v>495</v>
      </c>
      <c r="E240" s="4" t="s">
        <v>494</v>
      </c>
      <c r="F240" s="4" t="s">
        <v>494</v>
      </c>
    </row>
    <row r="241" spans="1:6" ht="16.5" customHeight="1">
      <c r="A241" s="4" t="s">
        <v>274</v>
      </c>
      <c r="B241" s="4" t="s">
        <v>495</v>
      </c>
      <c r="C241" s="4" t="s">
        <v>495</v>
      </c>
      <c r="D241" s="4" t="s">
        <v>495</v>
      </c>
      <c r="E241" s="4" t="s">
        <v>494</v>
      </c>
      <c r="F241" s="4" t="s">
        <v>494</v>
      </c>
    </row>
    <row r="242" spans="1:6" ht="16.5" customHeight="1">
      <c r="A242" s="4" t="s">
        <v>267</v>
      </c>
      <c r="B242" s="4" t="s">
        <v>495</v>
      </c>
      <c r="C242" s="4" t="s">
        <v>495</v>
      </c>
      <c r="D242" s="4" t="s">
        <v>495</v>
      </c>
      <c r="E242" s="4" t="s">
        <v>494</v>
      </c>
      <c r="F242" s="4" t="s">
        <v>494</v>
      </c>
    </row>
    <row r="243" spans="1:6" ht="16.5" customHeight="1">
      <c r="A243" s="4" t="s">
        <v>277</v>
      </c>
      <c r="B243" s="4" t="s">
        <v>495</v>
      </c>
      <c r="C243" s="4" t="s">
        <v>495</v>
      </c>
      <c r="D243" s="4" t="s">
        <v>495</v>
      </c>
      <c r="E243" s="4" t="s">
        <v>494</v>
      </c>
      <c r="F243" s="4" t="s">
        <v>494</v>
      </c>
    </row>
    <row r="244" spans="1:6" ht="16.5" customHeight="1">
      <c r="A244" s="4" t="s">
        <v>269</v>
      </c>
      <c r="B244" s="4" t="s">
        <v>495</v>
      </c>
      <c r="C244" s="4" t="s">
        <v>495</v>
      </c>
      <c r="D244" s="4" t="s">
        <v>495</v>
      </c>
      <c r="E244" s="4" t="s">
        <v>494</v>
      </c>
      <c r="F244" s="4" t="s">
        <v>494</v>
      </c>
    </row>
    <row r="245" spans="1:6" ht="16.5" customHeight="1">
      <c r="A245" s="4" t="s">
        <v>260</v>
      </c>
      <c r="B245" s="4" t="s">
        <v>495</v>
      </c>
      <c r="C245" s="4" t="s">
        <v>495</v>
      </c>
      <c r="D245" s="4" t="s">
        <v>495</v>
      </c>
      <c r="E245" s="4" t="s">
        <v>494</v>
      </c>
      <c r="F245" s="4" t="s">
        <v>494</v>
      </c>
    </row>
    <row r="246" spans="1:6" ht="16.5" customHeight="1">
      <c r="A246" s="4" t="s">
        <v>262</v>
      </c>
      <c r="B246" s="4" t="s">
        <v>495</v>
      </c>
      <c r="C246" s="4" t="s">
        <v>495</v>
      </c>
      <c r="D246" s="4" t="s">
        <v>495</v>
      </c>
      <c r="E246" s="4" t="s">
        <v>494</v>
      </c>
      <c r="F246" s="4" t="s">
        <v>494</v>
      </c>
    </row>
    <row r="247" spans="1:6" ht="16.5" customHeight="1">
      <c r="A247" s="4" t="s">
        <v>276</v>
      </c>
      <c r="B247" s="4" t="s">
        <v>495</v>
      </c>
      <c r="C247" s="4" t="s">
        <v>495</v>
      </c>
      <c r="D247" s="4" t="s">
        <v>495</v>
      </c>
      <c r="E247" s="4" t="s">
        <v>494</v>
      </c>
      <c r="F247" s="4" t="s">
        <v>494</v>
      </c>
    </row>
    <row r="248" spans="1:6" ht="16.5" customHeight="1">
      <c r="A248" s="4" t="s">
        <v>265</v>
      </c>
      <c r="B248" s="4" t="s">
        <v>495</v>
      </c>
      <c r="C248" s="4" t="s">
        <v>495</v>
      </c>
      <c r="D248" s="4" t="s">
        <v>495</v>
      </c>
      <c r="E248" s="4" t="s">
        <v>494</v>
      </c>
      <c r="F248" s="4" t="s">
        <v>494</v>
      </c>
    </row>
    <row r="249" spans="1:6" ht="16.5" customHeight="1">
      <c r="A249" s="4" t="s">
        <v>278</v>
      </c>
      <c r="B249" s="4" t="s">
        <v>493</v>
      </c>
      <c r="C249" s="4" t="s">
        <v>495</v>
      </c>
      <c r="D249" s="4" t="s">
        <v>495</v>
      </c>
      <c r="E249" s="4" t="s">
        <v>494</v>
      </c>
      <c r="F249" s="4" t="s">
        <v>494</v>
      </c>
    </row>
    <row r="250" spans="1:6" ht="16.5" customHeight="1">
      <c r="A250" s="4" t="s">
        <v>259</v>
      </c>
      <c r="B250" s="4" t="s">
        <v>493</v>
      </c>
      <c r="C250" s="4" t="s">
        <v>495</v>
      </c>
      <c r="D250" s="4" t="s">
        <v>495</v>
      </c>
      <c r="E250" s="4" t="s">
        <v>494</v>
      </c>
      <c r="F250" s="4" t="s">
        <v>494</v>
      </c>
    </row>
    <row r="251" spans="1:6" ht="16.5" customHeight="1">
      <c r="A251" s="4" t="s">
        <v>279</v>
      </c>
      <c r="B251" s="4" t="s">
        <v>495</v>
      </c>
      <c r="C251" s="4" t="s">
        <v>495</v>
      </c>
      <c r="D251" s="4" t="s">
        <v>495</v>
      </c>
      <c r="E251" s="4" t="s">
        <v>494</v>
      </c>
      <c r="F251" s="4" t="s">
        <v>494</v>
      </c>
    </row>
    <row r="252" spans="1:6" ht="16.5" customHeight="1">
      <c r="A252" s="4" t="s">
        <v>416</v>
      </c>
      <c r="B252" s="4" t="s">
        <v>496</v>
      </c>
      <c r="C252" s="4" t="s">
        <v>496</v>
      </c>
      <c r="D252" s="4" t="s">
        <v>496</v>
      </c>
      <c r="E252" s="4" t="s">
        <v>496</v>
      </c>
      <c r="F252" s="4" t="s">
        <v>496</v>
      </c>
    </row>
    <row r="253" spans="1:6" ht="16.5" customHeight="1">
      <c r="A253" s="4" t="s">
        <v>415</v>
      </c>
      <c r="B253" s="4" t="s">
        <v>496</v>
      </c>
      <c r="C253" s="4" t="s">
        <v>496</v>
      </c>
      <c r="D253" s="4" t="s">
        <v>496</v>
      </c>
      <c r="E253" s="4" t="s">
        <v>496</v>
      </c>
      <c r="F253" s="4" t="s">
        <v>496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7D03-614F-4014-A12F-36339283546E}">
  <dimension ref="A1:F1345"/>
  <sheetViews>
    <sheetView workbookViewId="0">
      <selection activeCell="I18" sqref="I18"/>
    </sheetView>
  </sheetViews>
  <sheetFormatPr defaultRowHeight="12.75"/>
  <cols>
    <col min="1" max="1" width="13.7109375" style="52" bestFit="1" customWidth="1"/>
    <col min="2" max="2" width="27.7109375" style="53" bestFit="1" customWidth="1"/>
    <col min="3" max="3" width="13.7109375" style="53" bestFit="1" customWidth="1"/>
    <col min="4" max="4" width="11.7109375" style="53" bestFit="1" customWidth="1"/>
    <col min="5" max="5" width="10" style="53" bestFit="1" customWidth="1"/>
    <col min="6" max="6" width="13.7109375" style="53" bestFit="1" customWidth="1"/>
  </cols>
  <sheetData>
    <row r="1" spans="1:6">
      <c r="A1" s="51" t="s">
        <v>497</v>
      </c>
      <c r="B1" s="51" t="s">
        <v>498</v>
      </c>
      <c r="C1" s="51" t="s">
        <v>499</v>
      </c>
      <c r="D1" s="51" t="s">
        <v>461</v>
      </c>
      <c r="E1" s="51" t="s">
        <v>500</v>
      </c>
      <c r="F1" s="51" t="s">
        <v>501</v>
      </c>
    </row>
    <row r="2" spans="1:6">
      <c r="A2" s="52">
        <v>43344</v>
      </c>
      <c r="B2" s="53" t="s">
        <v>502</v>
      </c>
      <c r="C2" s="53" t="s">
        <v>503</v>
      </c>
      <c r="D2" s="53" t="s">
        <v>504</v>
      </c>
      <c r="E2" s="53" t="s">
        <v>494</v>
      </c>
      <c r="F2" s="53">
        <v>0.15</v>
      </c>
    </row>
    <row r="3" spans="1:6">
      <c r="A3" s="52">
        <v>43344</v>
      </c>
      <c r="B3" s="53" t="s">
        <v>502</v>
      </c>
      <c r="C3" s="53" t="s">
        <v>503</v>
      </c>
      <c r="D3" s="53" t="s">
        <v>505</v>
      </c>
      <c r="E3" s="53" t="s">
        <v>494</v>
      </c>
      <c r="F3" s="53">
        <v>0.17</v>
      </c>
    </row>
    <row r="4" spans="1:6">
      <c r="A4" s="52">
        <v>43344</v>
      </c>
      <c r="B4" s="53" t="s">
        <v>502</v>
      </c>
      <c r="C4" s="53" t="s">
        <v>506</v>
      </c>
      <c r="D4" s="53" t="s">
        <v>504</v>
      </c>
      <c r="E4" s="53" t="s">
        <v>494</v>
      </c>
      <c r="F4" s="53">
        <v>0.21</v>
      </c>
    </row>
    <row r="5" spans="1:6">
      <c r="A5" s="52">
        <v>43344</v>
      </c>
      <c r="B5" s="53" t="s">
        <v>502</v>
      </c>
      <c r="C5" s="53" t="s">
        <v>506</v>
      </c>
      <c r="D5" s="53" t="s">
        <v>505</v>
      </c>
      <c r="E5" s="53" t="s">
        <v>494</v>
      </c>
      <c r="F5" s="53">
        <v>0.24</v>
      </c>
    </row>
    <row r="6" spans="1:6">
      <c r="A6" s="52">
        <v>43344</v>
      </c>
      <c r="B6" s="53" t="s">
        <v>507</v>
      </c>
      <c r="C6" s="53" t="s">
        <v>503</v>
      </c>
      <c r="D6" s="53" t="s">
        <v>504</v>
      </c>
      <c r="E6" s="53" t="s">
        <v>494</v>
      </c>
      <c r="F6" s="53">
        <v>0.15</v>
      </c>
    </row>
    <row r="7" spans="1:6">
      <c r="A7" s="52">
        <v>43344</v>
      </c>
      <c r="B7" s="53" t="s">
        <v>507</v>
      </c>
      <c r="C7" s="53" t="s">
        <v>506</v>
      </c>
      <c r="D7" s="53" t="s">
        <v>504</v>
      </c>
      <c r="E7" s="53" t="s">
        <v>494</v>
      </c>
      <c r="F7" s="53">
        <v>0.21</v>
      </c>
    </row>
    <row r="8" spans="1:6">
      <c r="A8" s="52">
        <v>43344</v>
      </c>
      <c r="B8" s="53" t="s">
        <v>507</v>
      </c>
      <c r="C8" s="53" t="s">
        <v>503</v>
      </c>
      <c r="D8" s="53" t="s">
        <v>505</v>
      </c>
      <c r="E8" s="53" t="s">
        <v>494</v>
      </c>
      <c r="F8" s="53">
        <v>0.15</v>
      </c>
    </row>
    <row r="9" spans="1:6">
      <c r="A9" s="52">
        <v>43344</v>
      </c>
      <c r="B9" s="53" t="s">
        <v>507</v>
      </c>
      <c r="C9" s="53" t="s">
        <v>506</v>
      </c>
      <c r="D9" s="53" t="s">
        <v>505</v>
      </c>
      <c r="E9" s="53" t="s">
        <v>494</v>
      </c>
      <c r="F9" s="53">
        <v>0.21</v>
      </c>
    </row>
    <row r="10" spans="1:6">
      <c r="A10" s="52">
        <v>43344</v>
      </c>
      <c r="B10" s="53" t="s">
        <v>508</v>
      </c>
      <c r="C10" s="53" t="s">
        <v>503</v>
      </c>
      <c r="D10" s="53" t="s">
        <v>504</v>
      </c>
      <c r="E10" s="53" t="s">
        <v>494</v>
      </c>
      <c r="F10" s="53">
        <v>0.15</v>
      </c>
    </row>
    <row r="11" spans="1:6">
      <c r="A11" s="52">
        <v>43344</v>
      </c>
      <c r="B11" s="53" t="s">
        <v>509</v>
      </c>
      <c r="C11" s="53" t="s">
        <v>503</v>
      </c>
      <c r="D11" s="53" t="s">
        <v>504</v>
      </c>
      <c r="E11" s="53" t="s">
        <v>494</v>
      </c>
      <c r="F11" s="53">
        <v>0.17</v>
      </c>
    </row>
    <row r="12" spans="1:6">
      <c r="A12" s="52">
        <v>43344</v>
      </c>
      <c r="B12" s="53" t="s">
        <v>508</v>
      </c>
      <c r="C12" s="53" t="s">
        <v>506</v>
      </c>
      <c r="D12" s="53" t="s">
        <v>504</v>
      </c>
      <c r="E12" s="53" t="s">
        <v>494</v>
      </c>
      <c r="F12" s="53">
        <v>0.21</v>
      </c>
    </row>
    <row r="13" spans="1:6">
      <c r="A13" s="52">
        <v>43344</v>
      </c>
      <c r="B13" s="53" t="s">
        <v>509</v>
      </c>
      <c r="C13" s="53" t="s">
        <v>506</v>
      </c>
      <c r="D13" s="53" t="s">
        <v>504</v>
      </c>
      <c r="E13" s="53" t="s">
        <v>494</v>
      </c>
      <c r="F13" s="53">
        <v>0.24</v>
      </c>
    </row>
    <row r="14" spans="1:6">
      <c r="A14" s="52">
        <v>43344</v>
      </c>
      <c r="B14" s="53" t="s">
        <v>508</v>
      </c>
      <c r="C14" s="53" t="s">
        <v>503</v>
      </c>
      <c r="D14" s="53" t="s">
        <v>505</v>
      </c>
      <c r="E14" s="53" t="s">
        <v>494</v>
      </c>
      <c r="F14" s="53">
        <v>0.15</v>
      </c>
    </row>
    <row r="15" spans="1:6">
      <c r="A15" s="52">
        <v>43344</v>
      </c>
      <c r="B15" s="53" t="s">
        <v>509</v>
      </c>
      <c r="C15" s="53" t="s">
        <v>503</v>
      </c>
      <c r="D15" s="53" t="s">
        <v>505</v>
      </c>
      <c r="E15" s="53" t="s">
        <v>494</v>
      </c>
      <c r="F15" s="53">
        <v>0.17</v>
      </c>
    </row>
    <row r="16" spans="1:6">
      <c r="A16" s="52">
        <v>43344</v>
      </c>
      <c r="B16" s="53" t="s">
        <v>508</v>
      </c>
      <c r="C16" s="53" t="s">
        <v>506</v>
      </c>
      <c r="D16" s="53" t="s">
        <v>505</v>
      </c>
      <c r="E16" s="53" t="s">
        <v>494</v>
      </c>
      <c r="F16" s="53">
        <v>0.21</v>
      </c>
    </row>
    <row r="17" spans="1:6">
      <c r="A17" s="52">
        <v>43344</v>
      </c>
      <c r="B17" s="53" t="s">
        <v>509</v>
      </c>
      <c r="C17" s="53" t="s">
        <v>506</v>
      </c>
      <c r="D17" s="53" t="s">
        <v>505</v>
      </c>
      <c r="E17" s="53" t="s">
        <v>494</v>
      </c>
      <c r="F17" s="53">
        <v>0.24</v>
      </c>
    </row>
    <row r="18" spans="1:6">
      <c r="A18" s="52">
        <v>43344</v>
      </c>
      <c r="B18" s="53" t="s">
        <v>510</v>
      </c>
      <c r="C18" s="53" t="s">
        <v>503</v>
      </c>
      <c r="D18" s="53" t="s">
        <v>504</v>
      </c>
      <c r="E18" s="53" t="s">
        <v>494</v>
      </c>
      <c r="F18" s="53">
        <v>0.81</v>
      </c>
    </row>
    <row r="19" spans="1:6">
      <c r="A19" s="52">
        <v>43344</v>
      </c>
      <c r="B19" s="53" t="s">
        <v>510</v>
      </c>
      <c r="C19" s="53" t="s">
        <v>503</v>
      </c>
      <c r="D19" s="53" t="s">
        <v>505</v>
      </c>
      <c r="E19" s="53" t="s">
        <v>494</v>
      </c>
      <c r="F19" s="53">
        <v>0.81</v>
      </c>
    </row>
    <row r="20" spans="1:6">
      <c r="A20" s="52">
        <v>43344</v>
      </c>
      <c r="B20" s="53" t="s">
        <v>510</v>
      </c>
      <c r="C20" s="53" t="s">
        <v>506</v>
      </c>
      <c r="D20" s="53" t="s">
        <v>504</v>
      </c>
      <c r="E20" s="53" t="s">
        <v>494</v>
      </c>
      <c r="F20" s="53">
        <v>0.81</v>
      </c>
    </row>
    <row r="21" spans="1:6">
      <c r="A21" s="52">
        <v>43344</v>
      </c>
      <c r="B21" s="53" t="s">
        <v>510</v>
      </c>
      <c r="C21" s="53" t="s">
        <v>506</v>
      </c>
      <c r="D21" s="53" t="s">
        <v>505</v>
      </c>
      <c r="E21" s="53" t="s">
        <v>494</v>
      </c>
      <c r="F21" s="53">
        <v>0.81</v>
      </c>
    </row>
    <row r="22" spans="1:6">
      <c r="A22" s="52">
        <v>43344</v>
      </c>
      <c r="B22" s="53" t="s">
        <v>511</v>
      </c>
      <c r="C22" s="53" t="s">
        <v>503</v>
      </c>
      <c r="D22" s="53" t="s">
        <v>504</v>
      </c>
      <c r="E22" s="53" t="s">
        <v>494</v>
      </c>
      <c r="F22" s="53">
        <v>1.1599999999999999</v>
      </c>
    </row>
    <row r="23" spans="1:6">
      <c r="A23" s="52">
        <v>43344</v>
      </c>
      <c r="B23" s="53" t="s">
        <v>511</v>
      </c>
      <c r="C23" s="53" t="s">
        <v>503</v>
      </c>
      <c r="D23" s="53" t="s">
        <v>505</v>
      </c>
      <c r="E23" s="53" t="s">
        <v>494</v>
      </c>
      <c r="F23" s="53">
        <v>1.1599999999999999</v>
      </c>
    </row>
    <row r="24" spans="1:6">
      <c r="A24" s="52">
        <v>43344</v>
      </c>
      <c r="B24" s="53" t="s">
        <v>511</v>
      </c>
      <c r="C24" s="53" t="s">
        <v>506</v>
      </c>
      <c r="D24" s="53" t="s">
        <v>504</v>
      </c>
      <c r="E24" s="53" t="s">
        <v>494</v>
      </c>
      <c r="F24" s="53">
        <v>1.1599999999999999</v>
      </c>
    </row>
    <row r="25" spans="1:6">
      <c r="A25" s="52">
        <v>43344</v>
      </c>
      <c r="B25" s="53" t="s">
        <v>511</v>
      </c>
      <c r="C25" s="53" t="s">
        <v>506</v>
      </c>
      <c r="D25" s="53" t="s">
        <v>505</v>
      </c>
      <c r="E25" s="53" t="s">
        <v>494</v>
      </c>
      <c r="F25" s="53">
        <v>1.1599999999999999</v>
      </c>
    </row>
    <row r="26" spans="1:6">
      <c r="A26" s="52">
        <v>43344</v>
      </c>
      <c r="B26" s="53" t="s">
        <v>502</v>
      </c>
      <c r="C26" s="53" t="s">
        <v>503</v>
      </c>
      <c r="D26" s="53" t="s">
        <v>504</v>
      </c>
      <c r="E26" s="53" t="s">
        <v>493</v>
      </c>
      <c r="F26" s="53">
        <v>0.17</v>
      </c>
    </row>
    <row r="27" spans="1:6">
      <c r="A27" s="52">
        <v>43344</v>
      </c>
      <c r="B27" s="53" t="s">
        <v>502</v>
      </c>
      <c r="C27" s="53" t="s">
        <v>503</v>
      </c>
      <c r="D27" s="53" t="s">
        <v>505</v>
      </c>
      <c r="E27" s="53" t="s">
        <v>493</v>
      </c>
      <c r="F27" s="53">
        <v>0.24</v>
      </c>
    </row>
    <row r="28" spans="1:6">
      <c r="A28" s="52">
        <v>43344</v>
      </c>
      <c r="B28" s="53" t="s">
        <v>502</v>
      </c>
      <c r="C28" s="53" t="s">
        <v>506</v>
      </c>
      <c r="D28" s="53" t="s">
        <v>504</v>
      </c>
      <c r="E28" s="53" t="s">
        <v>493</v>
      </c>
      <c r="F28" s="53">
        <v>0.24</v>
      </c>
    </row>
    <row r="29" spans="1:6">
      <c r="A29" s="52">
        <v>43344</v>
      </c>
      <c r="B29" s="53" t="s">
        <v>502</v>
      </c>
      <c r="C29" s="53" t="s">
        <v>506</v>
      </c>
      <c r="D29" s="53" t="s">
        <v>505</v>
      </c>
      <c r="E29" s="53" t="s">
        <v>493</v>
      </c>
      <c r="F29" s="53">
        <v>0.34</v>
      </c>
    </row>
    <row r="30" spans="1:6">
      <c r="A30" s="52">
        <v>43344</v>
      </c>
      <c r="B30" s="53" t="s">
        <v>507</v>
      </c>
      <c r="C30" s="53" t="s">
        <v>503</v>
      </c>
      <c r="D30" s="53" t="s">
        <v>504</v>
      </c>
      <c r="E30" s="53" t="s">
        <v>493</v>
      </c>
      <c r="F30" s="53">
        <v>0.15</v>
      </c>
    </row>
    <row r="31" spans="1:6">
      <c r="A31" s="52">
        <v>43344</v>
      </c>
      <c r="B31" s="53" t="s">
        <v>507</v>
      </c>
      <c r="C31" s="53" t="s">
        <v>506</v>
      </c>
      <c r="D31" s="53" t="s">
        <v>504</v>
      </c>
      <c r="E31" s="53" t="s">
        <v>493</v>
      </c>
      <c r="F31" s="53">
        <v>0.21</v>
      </c>
    </row>
    <row r="32" spans="1:6">
      <c r="A32" s="52">
        <v>43344</v>
      </c>
      <c r="B32" s="53" t="s">
        <v>507</v>
      </c>
      <c r="C32" s="53" t="s">
        <v>503</v>
      </c>
      <c r="D32" s="53" t="s">
        <v>505</v>
      </c>
      <c r="E32" s="53" t="s">
        <v>493</v>
      </c>
      <c r="F32" s="53">
        <v>0.15</v>
      </c>
    </row>
    <row r="33" spans="1:6">
      <c r="A33" s="52">
        <v>43344</v>
      </c>
      <c r="B33" s="53" t="s">
        <v>507</v>
      </c>
      <c r="C33" s="53" t="s">
        <v>506</v>
      </c>
      <c r="D33" s="53" t="s">
        <v>505</v>
      </c>
      <c r="E33" s="53" t="s">
        <v>493</v>
      </c>
      <c r="F33" s="53">
        <v>0.21</v>
      </c>
    </row>
    <row r="34" spans="1:6">
      <c r="A34" s="52">
        <v>43344</v>
      </c>
      <c r="B34" s="53" t="s">
        <v>508</v>
      </c>
      <c r="C34" s="53" t="s">
        <v>503</v>
      </c>
      <c r="D34" s="53" t="s">
        <v>504</v>
      </c>
      <c r="E34" s="53" t="s">
        <v>493</v>
      </c>
      <c r="F34" s="53">
        <v>0.17</v>
      </c>
    </row>
    <row r="35" spans="1:6">
      <c r="A35" s="52">
        <v>43344</v>
      </c>
      <c r="B35" s="53" t="s">
        <v>509</v>
      </c>
      <c r="C35" s="53" t="s">
        <v>503</v>
      </c>
      <c r="D35" s="53" t="s">
        <v>504</v>
      </c>
      <c r="E35" s="53" t="s">
        <v>493</v>
      </c>
      <c r="F35" s="53">
        <v>0.2</v>
      </c>
    </row>
    <row r="36" spans="1:6">
      <c r="A36" s="52">
        <v>43344</v>
      </c>
      <c r="B36" s="53" t="s">
        <v>508</v>
      </c>
      <c r="C36" s="53" t="s">
        <v>506</v>
      </c>
      <c r="D36" s="53" t="s">
        <v>504</v>
      </c>
      <c r="E36" s="53" t="s">
        <v>493</v>
      </c>
      <c r="F36" s="53">
        <v>0.24</v>
      </c>
    </row>
    <row r="37" spans="1:6">
      <c r="A37" s="52">
        <v>43344</v>
      </c>
      <c r="B37" s="53" t="s">
        <v>509</v>
      </c>
      <c r="C37" s="53" t="s">
        <v>506</v>
      </c>
      <c r="D37" s="53" t="s">
        <v>504</v>
      </c>
      <c r="E37" s="53" t="s">
        <v>493</v>
      </c>
      <c r="F37" s="53">
        <v>0.28999999999999998</v>
      </c>
    </row>
    <row r="38" spans="1:6">
      <c r="A38" s="52">
        <v>43344</v>
      </c>
      <c r="B38" s="53" t="s">
        <v>508</v>
      </c>
      <c r="C38" s="53" t="s">
        <v>503</v>
      </c>
      <c r="D38" s="53" t="s">
        <v>505</v>
      </c>
      <c r="E38" s="53" t="s">
        <v>493</v>
      </c>
      <c r="F38" s="53">
        <v>0.17</v>
      </c>
    </row>
    <row r="39" spans="1:6">
      <c r="A39" s="52">
        <v>43344</v>
      </c>
      <c r="B39" s="53" t="s">
        <v>509</v>
      </c>
      <c r="C39" s="53" t="s">
        <v>503</v>
      </c>
      <c r="D39" s="53" t="s">
        <v>505</v>
      </c>
      <c r="E39" s="53" t="s">
        <v>493</v>
      </c>
      <c r="F39" s="53">
        <v>0.2</v>
      </c>
    </row>
    <row r="40" spans="1:6">
      <c r="A40" s="52">
        <v>43344</v>
      </c>
      <c r="B40" s="53" t="s">
        <v>508</v>
      </c>
      <c r="C40" s="53" t="s">
        <v>506</v>
      </c>
      <c r="D40" s="53" t="s">
        <v>505</v>
      </c>
      <c r="E40" s="53" t="s">
        <v>493</v>
      </c>
      <c r="F40" s="53">
        <v>0.24</v>
      </c>
    </row>
    <row r="41" spans="1:6">
      <c r="A41" s="52">
        <v>43344</v>
      </c>
      <c r="B41" s="53" t="s">
        <v>509</v>
      </c>
      <c r="C41" s="53" t="s">
        <v>506</v>
      </c>
      <c r="D41" s="53" t="s">
        <v>505</v>
      </c>
      <c r="E41" s="53" t="s">
        <v>493</v>
      </c>
      <c r="F41" s="53">
        <v>0.28999999999999998</v>
      </c>
    </row>
    <row r="42" spans="1:6">
      <c r="A42" s="52">
        <v>43344</v>
      </c>
      <c r="B42" s="53" t="s">
        <v>510</v>
      </c>
      <c r="C42" s="53" t="s">
        <v>503</v>
      </c>
      <c r="D42" s="53" t="s">
        <v>504</v>
      </c>
      <c r="E42" s="53" t="s">
        <v>493</v>
      </c>
      <c r="F42" s="53">
        <v>0.81</v>
      </c>
    </row>
    <row r="43" spans="1:6">
      <c r="A43" s="52">
        <v>43344</v>
      </c>
      <c r="B43" s="53" t="s">
        <v>510</v>
      </c>
      <c r="C43" s="53" t="s">
        <v>503</v>
      </c>
      <c r="D43" s="53" t="s">
        <v>505</v>
      </c>
      <c r="E43" s="53" t="s">
        <v>493</v>
      </c>
      <c r="F43" s="53">
        <v>0.81</v>
      </c>
    </row>
    <row r="44" spans="1:6">
      <c r="A44" s="52">
        <v>43344</v>
      </c>
      <c r="B44" s="53" t="s">
        <v>510</v>
      </c>
      <c r="C44" s="53" t="s">
        <v>506</v>
      </c>
      <c r="D44" s="53" t="s">
        <v>504</v>
      </c>
      <c r="E44" s="53" t="s">
        <v>493</v>
      </c>
      <c r="F44" s="53">
        <v>0.81</v>
      </c>
    </row>
    <row r="45" spans="1:6">
      <c r="A45" s="52">
        <v>43344</v>
      </c>
      <c r="B45" s="53" t="s">
        <v>510</v>
      </c>
      <c r="C45" s="53" t="s">
        <v>506</v>
      </c>
      <c r="D45" s="53" t="s">
        <v>505</v>
      </c>
      <c r="E45" s="53" t="s">
        <v>493</v>
      </c>
      <c r="F45" s="53">
        <v>0.81</v>
      </c>
    </row>
    <row r="46" spans="1:6">
      <c r="A46" s="52">
        <v>43344</v>
      </c>
      <c r="B46" s="53" t="s">
        <v>511</v>
      </c>
      <c r="C46" s="53" t="s">
        <v>503</v>
      </c>
      <c r="D46" s="53" t="s">
        <v>504</v>
      </c>
      <c r="E46" s="53" t="s">
        <v>493</v>
      </c>
      <c r="F46" s="53">
        <v>1.1599999999999999</v>
      </c>
    </row>
    <row r="47" spans="1:6">
      <c r="A47" s="52">
        <v>43344</v>
      </c>
      <c r="B47" s="53" t="s">
        <v>511</v>
      </c>
      <c r="C47" s="53" t="s">
        <v>503</v>
      </c>
      <c r="D47" s="53" t="s">
        <v>505</v>
      </c>
      <c r="E47" s="53" t="s">
        <v>493</v>
      </c>
      <c r="F47" s="53">
        <v>1.1599999999999999</v>
      </c>
    </row>
    <row r="48" spans="1:6">
      <c r="A48" s="52">
        <v>43344</v>
      </c>
      <c r="B48" s="53" t="s">
        <v>511</v>
      </c>
      <c r="C48" s="53" t="s">
        <v>506</v>
      </c>
      <c r="D48" s="53" t="s">
        <v>504</v>
      </c>
      <c r="E48" s="53" t="s">
        <v>493</v>
      </c>
      <c r="F48" s="53">
        <v>1.1599999999999999</v>
      </c>
    </row>
    <row r="49" spans="1:6">
      <c r="A49" s="52">
        <v>43344</v>
      </c>
      <c r="B49" s="53" t="s">
        <v>511</v>
      </c>
      <c r="C49" s="53" t="s">
        <v>506</v>
      </c>
      <c r="D49" s="53" t="s">
        <v>505</v>
      </c>
      <c r="E49" s="53" t="s">
        <v>493</v>
      </c>
      <c r="F49" s="53">
        <v>1.1599999999999999</v>
      </c>
    </row>
    <row r="50" spans="1:6">
      <c r="A50" s="52">
        <v>43344</v>
      </c>
      <c r="B50" s="53" t="s">
        <v>502</v>
      </c>
      <c r="C50" s="53" t="s">
        <v>503</v>
      </c>
      <c r="D50" s="53" t="s">
        <v>504</v>
      </c>
      <c r="E50" s="53" t="s">
        <v>495</v>
      </c>
      <c r="F50" s="53">
        <v>0.22</v>
      </c>
    </row>
    <row r="51" spans="1:6">
      <c r="A51" s="52">
        <v>43344</v>
      </c>
      <c r="B51" s="53" t="s">
        <v>502</v>
      </c>
      <c r="C51" s="53" t="s">
        <v>503</v>
      </c>
      <c r="D51" s="53" t="s">
        <v>505</v>
      </c>
      <c r="E51" s="53" t="s">
        <v>495</v>
      </c>
      <c r="F51" s="53">
        <v>0.32</v>
      </c>
    </row>
    <row r="52" spans="1:6">
      <c r="A52" s="52">
        <v>43344</v>
      </c>
      <c r="B52" s="53" t="s">
        <v>502</v>
      </c>
      <c r="C52" s="53" t="s">
        <v>506</v>
      </c>
      <c r="D52" s="53" t="s">
        <v>504</v>
      </c>
      <c r="E52" s="53" t="s">
        <v>495</v>
      </c>
      <c r="F52" s="53">
        <v>0.31</v>
      </c>
    </row>
    <row r="53" spans="1:6">
      <c r="A53" s="52">
        <v>43344</v>
      </c>
      <c r="B53" s="53" t="s">
        <v>502</v>
      </c>
      <c r="C53" s="53" t="s">
        <v>506</v>
      </c>
      <c r="D53" s="53" t="s">
        <v>505</v>
      </c>
      <c r="E53" s="53" t="s">
        <v>495</v>
      </c>
      <c r="F53" s="53">
        <v>0.45</v>
      </c>
    </row>
    <row r="54" spans="1:6">
      <c r="A54" s="52">
        <v>43344</v>
      </c>
      <c r="B54" s="53" t="s">
        <v>507</v>
      </c>
      <c r="C54" s="53" t="s">
        <v>503</v>
      </c>
      <c r="D54" s="53" t="s">
        <v>504</v>
      </c>
      <c r="E54" s="53" t="s">
        <v>495</v>
      </c>
      <c r="F54" s="53">
        <v>0.18</v>
      </c>
    </row>
    <row r="55" spans="1:6">
      <c r="A55" s="52">
        <v>43344</v>
      </c>
      <c r="B55" s="53" t="s">
        <v>507</v>
      </c>
      <c r="C55" s="53" t="s">
        <v>506</v>
      </c>
      <c r="D55" s="53" t="s">
        <v>504</v>
      </c>
      <c r="E55" s="53" t="s">
        <v>495</v>
      </c>
      <c r="F55" s="53">
        <v>0.26</v>
      </c>
    </row>
    <row r="56" spans="1:6">
      <c r="A56" s="52">
        <v>43344</v>
      </c>
      <c r="B56" s="53" t="s">
        <v>507</v>
      </c>
      <c r="C56" s="53" t="s">
        <v>503</v>
      </c>
      <c r="D56" s="53" t="s">
        <v>505</v>
      </c>
      <c r="E56" s="53" t="s">
        <v>495</v>
      </c>
      <c r="F56" s="53">
        <v>0.18</v>
      </c>
    </row>
    <row r="57" spans="1:6">
      <c r="A57" s="52">
        <v>43344</v>
      </c>
      <c r="B57" s="53" t="s">
        <v>507</v>
      </c>
      <c r="C57" s="53" t="s">
        <v>506</v>
      </c>
      <c r="D57" s="53" t="s">
        <v>505</v>
      </c>
      <c r="E57" s="53" t="s">
        <v>495</v>
      </c>
      <c r="F57" s="53">
        <v>0.26</v>
      </c>
    </row>
    <row r="58" spans="1:6">
      <c r="A58" s="52">
        <v>43344</v>
      </c>
      <c r="B58" s="53" t="s">
        <v>508</v>
      </c>
      <c r="C58" s="53" t="s">
        <v>503</v>
      </c>
      <c r="D58" s="53" t="s">
        <v>504</v>
      </c>
      <c r="E58" s="53" t="s">
        <v>495</v>
      </c>
      <c r="F58" s="53">
        <v>0.22</v>
      </c>
    </row>
    <row r="59" spans="1:6">
      <c r="A59" s="52">
        <v>43344</v>
      </c>
      <c r="B59" s="53" t="s">
        <v>509</v>
      </c>
      <c r="C59" s="53" t="s">
        <v>503</v>
      </c>
      <c r="D59" s="53" t="s">
        <v>504</v>
      </c>
      <c r="E59" s="53" t="s">
        <v>495</v>
      </c>
      <c r="F59" s="53">
        <v>0.25</v>
      </c>
    </row>
    <row r="60" spans="1:6">
      <c r="A60" s="52">
        <v>43344</v>
      </c>
      <c r="B60" s="53" t="s">
        <v>508</v>
      </c>
      <c r="C60" s="53" t="s">
        <v>506</v>
      </c>
      <c r="D60" s="53" t="s">
        <v>504</v>
      </c>
      <c r="E60" s="53" t="s">
        <v>495</v>
      </c>
      <c r="F60" s="53">
        <v>0.31</v>
      </c>
    </row>
    <row r="61" spans="1:6">
      <c r="A61" s="52">
        <v>43344</v>
      </c>
      <c r="B61" s="53" t="s">
        <v>509</v>
      </c>
      <c r="C61" s="53" t="s">
        <v>506</v>
      </c>
      <c r="D61" s="53" t="s">
        <v>504</v>
      </c>
      <c r="E61" s="53" t="s">
        <v>495</v>
      </c>
      <c r="F61" s="53">
        <v>0.35</v>
      </c>
    </row>
    <row r="62" spans="1:6">
      <c r="A62" s="52">
        <v>43344</v>
      </c>
      <c r="B62" s="53" t="s">
        <v>508</v>
      </c>
      <c r="C62" s="53" t="s">
        <v>503</v>
      </c>
      <c r="D62" s="53" t="s">
        <v>505</v>
      </c>
      <c r="E62" s="53" t="s">
        <v>495</v>
      </c>
      <c r="F62" s="53">
        <v>0.22</v>
      </c>
    </row>
    <row r="63" spans="1:6">
      <c r="A63" s="52">
        <v>43344</v>
      </c>
      <c r="B63" s="53" t="s">
        <v>509</v>
      </c>
      <c r="C63" s="53" t="s">
        <v>503</v>
      </c>
      <c r="D63" s="53" t="s">
        <v>505</v>
      </c>
      <c r="E63" s="53" t="s">
        <v>495</v>
      </c>
      <c r="F63" s="53">
        <v>0.25</v>
      </c>
    </row>
    <row r="64" spans="1:6">
      <c r="A64" s="52">
        <v>43344</v>
      </c>
      <c r="B64" s="53" t="s">
        <v>508</v>
      </c>
      <c r="C64" s="53" t="s">
        <v>506</v>
      </c>
      <c r="D64" s="53" t="s">
        <v>505</v>
      </c>
      <c r="E64" s="53" t="s">
        <v>495</v>
      </c>
      <c r="F64" s="53">
        <v>0.31</v>
      </c>
    </row>
    <row r="65" spans="1:6">
      <c r="A65" s="52">
        <v>43344</v>
      </c>
      <c r="B65" s="53" t="s">
        <v>509</v>
      </c>
      <c r="C65" s="53" t="s">
        <v>506</v>
      </c>
      <c r="D65" s="53" t="s">
        <v>505</v>
      </c>
      <c r="E65" s="53" t="s">
        <v>495</v>
      </c>
      <c r="F65" s="53">
        <v>0.35</v>
      </c>
    </row>
    <row r="66" spans="1:6">
      <c r="A66" s="52">
        <v>43344</v>
      </c>
      <c r="B66" s="53" t="s">
        <v>510</v>
      </c>
      <c r="C66" s="53" t="s">
        <v>503</v>
      </c>
      <c r="D66" s="53" t="s">
        <v>504</v>
      </c>
      <c r="E66" s="53" t="s">
        <v>495</v>
      </c>
      <c r="F66" s="53">
        <v>0.81</v>
      </c>
    </row>
    <row r="67" spans="1:6">
      <c r="A67" s="52">
        <v>43344</v>
      </c>
      <c r="B67" s="53" t="s">
        <v>510</v>
      </c>
      <c r="C67" s="53" t="s">
        <v>503</v>
      </c>
      <c r="D67" s="53" t="s">
        <v>505</v>
      </c>
      <c r="E67" s="53" t="s">
        <v>495</v>
      </c>
      <c r="F67" s="53">
        <v>0.81</v>
      </c>
    </row>
    <row r="68" spans="1:6">
      <c r="A68" s="52">
        <v>43344</v>
      </c>
      <c r="B68" s="53" t="s">
        <v>510</v>
      </c>
      <c r="C68" s="53" t="s">
        <v>506</v>
      </c>
      <c r="D68" s="53" t="s">
        <v>504</v>
      </c>
      <c r="E68" s="53" t="s">
        <v>495</v>
      </c>
      <c r="F68" s="53">
        <v>0.81</v>
      </c>
    </row>
    <row r="69" spans="1:6">
      <c r="A69" s="52">
        <v>43344</v>
      </c>
      <c r="B69" s="53" t="s">
        <v>510</v>
      </c>
      <c r="C69" s="53" t="s">
        <v>506</v>
      </c>
      <c r="D69" s="53" t="s">
        <v>505</v>
      </c>
      <c r="E69" s="53" t="s">
        <v>495</v>
      </c>
      <c r="F69" s="53">
        <v>0.81</v>
      </c>
    </row>
    <row r="70" spans="1:6">
      <c r="A70" s="52">
        <v>43344</v>
      </c>
      <c r="B70" s="53" t="s">
        <v>511</v>
      </c>
      <c r="C70" s="53" t="s">
        <v>503</v>
      </c>
      <c r="D70" s="53" t="s">
        <v>504</v>
      </c>
      <c r="E70" s="53" t="s">
        <v>495</v>
      </c>
      <c r="F70" s="53">
        <v>1.1599999999999999</v>
      </c>
    </row>
    <row r="71" spans="1:6">
      <c r="A71" s="52">
        <v>43344</v>
      </c>
      <c r="B71" s="53" t="s">
        <v>511</v>
      </c>
      <c r="C71" s="53" t="s">
        <v>503</v>
      </c>
      <c r="D71" s="53" t="s">
        <v>505</v>
      </c>
      <c r="E71" s="53" t="s">
        <v>495</v>
      </c>
      <c r="F71" s="53">
        <v>1.1599999999999999</v>
      </c>
    </row>
    <row r="72" spans="1:6">
      <c r="A72" s="52">
        <v>43344</v>
      </c>
      <c r="B72" s="53" t="s">
        <v>511</v>
      </c>
      <c r="C72" s="53" t="s">
        <v>506</v>
      </c>
      <c r="D72" s="53" t="s">
        <v>504</v>
      </c>
      <c r="E72" s="53" t="s">
        <v>495</v>
      </c>
      <c r="F72" s="53">
        <v>1.1599999999999999</v>
      </c>
    </row>
    <row r="73" spans="1:6">
      <c r="A73" s="52">
        <v>43344</v>
      </c>
      <c r="B73" s="53" t="s">
        <v>511</v>
      </c>
      <c r="C73" s="53" t="s">
        <v>506</v>
      </c>
      <c r="D73" s="53" t="s">
        <v>505</v>
      </c>
      <c r="E73" s="53" t="s">
        <v>495</v>
      </c>
      <c r="F73" s="53">
        <v>1.1599999999999999</v>
      </c>
    </row>
    <row r="74" spans="1:6">
      <c r="A74" s="52">
        <v>43344</v>
      </c>
      <c r="B74" s="53" t="s">
        <v>502</v>
      </c>
      <c r="C74" s="53" t="s">
        <v>503</v>
      </c>
      <c r="D74" s="53" t="s">
        <v>504</v>
      </c>
      <c r="E74" s="53" t="s">
        <v>496</v>
      </c>
      <c r="F74" s="53">
        <v>0.28999999999999998</v>
      </c>
    </row>
    <row r="75" spans="1:6">
      <c r="A75" s="52">
        <v>43344</v>
      </c>
      <c r="B75" s="53" t="s">
        <v>502</v>
      </c>
      <c r="C75" s="53" t="s">
        <v>503</v>
      </c>
      <c r="D75" s="53" t="s">
        <v>505</v>
      </c>
      <c r="E75" s="53" t="s">
        <v>496</v>
      </c>
      <c r="F75" s="53">
        <v>0.41</v>
      </c>
    </row>
    <row r="76" spans="1:6">
      <c r="A76" s="52">
        <v>43344</v>
      </c>
      <c r="B76" s="53" t="s">
        <v>502</v>
      </c>
      <c r="C76" s="53" t="s">
        <v>506</v>
      </c>
      <c r="D76" s="53" t="s">
        <v>504</v>
      </c>
      <c r="E76" s="53" t="s">
        <v>496</v>
      </c>
      <c r="F76" s="53">
        <v>0.41</v>
      </c>
    </row>
    <row r="77" spans="1:6">
      <c r="A77" s="52">
        <v>43344</v>
      </c>
      <c r="B77" s="53" t="s">
        <v>502</v>
      </c>
      <c r="C77" s="53" t="s">
        <v>506</v>
      </c>
      <c r="D77" s="53" t="s">
        <v>505</v>
      </c>
      <c r="E77" s="53" t="s">
        <v>496</v>
      </c>
      <c r="F77" s="53">
        <v>0.56000000000000005</v>
      </c>
    </row>
    <row r="78" spans="1:6">
      <c r="A78" s="52">
        <v>43344</v>
      </c>
      <c r="B78" s="53" t="s">
        <v>507</v>
      </c>
      <c r="C78" s="53" t="s">
        <v>503</v>
      </c>
      <c r="D78" s="53" t="s">
        <v>504</v>
      </c>
      <c r="E78" s="53" t="s">
        <v>496</v>
      </c>
      <c r="F78" s="53">
        <v>0.25</v>
      </c>
    </row>
    <row r="79" spans="1:6">
      <c r="A79" s="52">
        <v>43344</v>
      </c>
      <c r="B79" s="53" t="s">
        <v>507</v>
      </c>
      <c r="C79" s="53" t="s">
        <v>506</v>
      </c>
      <c r="D79" s="53" t="s">
        <v>504</v>
      </c>
      <c r="E79" s="53" t="s">
        <v>496</v>
      </c>
      <c r="F79" s="53">
        <v>0.35</v>
      </c>
    </row>
    <row r="80" spans="1:6">
      <c r="A80" s="52">
        <v>43344</v>
      </c>
      <c r="B80" s="53" t="s">
        <v>507</v>
      </c>
      <c r="C80" s="53" t="s">
        <v>503</v>
      </c>
      <c r="D80" s="53" t="s">
        <v>505</v>
      </c>
      <c r="E80" s="53" t="s">
        <v>496</v>
      </c>
      <c r="F80" s="53">
        <v>0.25</v>
      </c>
    </row>
    <row r="81" spans="1:6">
      <c r="A81" s="52">
        <v>43344</v>
      </c>
      <c r="B81" s="53" t="s">
        <v>507</v>
      </c>
      <c r="C81" s="53" t="s">
        <v>506</v>
      </c>
      <c r="D81" s="53" t="s">
        <v>505</v>
      </c>
      <c r="E81" s="53" t="s">
        <v>496</v>
      </c>
      <c r="F81" s="53">
        <v>0.35</v>
      </c>
    </row>
    <row r="82" spans="1:6">
      <c r="A82" s="52">
        <v>43344</v>
      </c>
      <c r="B82" s="53" t="s">
        <v>508</v>
      </c>
      <c r="C82" s="53" t="s">
        <v>503</v>
      </c>
      <c r="D82" s="53" t="s">
        <v>504</v>
      </c>
      <c r="E82" s="53" t="s">
        <v>496</v>
      </c>
      <c r="F82" s="53">
        <v>0.28999999999999998</v>
      </c>
    </row>
    <row r="83" spans="1:6">
      <c r="A83" s="52">
        <v>43344</v>
      </c>
      <c r="B83" s="53" t="s">
        <v>509</v>
      </c>
      <c r="C83" s="53" t="s">
        <v>503</v>
      </c>
      <c r="D83" s="53" t="s">
        <v>504</v>
      </c>
      <c r="E83" s="53" t="s">
        <v>496</v>
      </c>
      <c r="F83" s="53">
        <v>0.33</v>
      </c>
    </row>
    <row r="84" spans="1:6">
      <c r="A84" s="52">
        <v>43344</v>
      </c>
      <c r="B84" s="53" t="s">
        <v>508</v>
      </c>
      <c r="C84" s="53" t="s">
        <v>506</v>
      </c>
      <c r="D84" s="53" t="s">
        <v>504</v>
      </c>
      <c r="E84" s="53" t="s">
        <v>496</v>
      </c>
      <c r="F84" s="53">
        <v>0.41</v>
      </c>
    </row>
    <row r="85" spans="1:6">
      <c r="A85" s="52">
        <v>43344</v>
      </c>
      <c r="B85" s="53" t="s">
        <v>509</v>
      </c>
      <c r="C85" s="53" t="s">
        <v>506</v>
      </c>
      <c r="D85" s="53" t="s">
        <v>504</v>
      </c>
      <c r="E85" s="53" t="s">
        <v>496</v>
      </c>
      <c r="F85" s="53">
        <v>0.47</v>
      </c>
    </row>
    <row r="86" spans="1:6">
      <c r="A86" s="52">
        <v>43344</v>
      </c>
      <c r="B86" s="53" t="s">
        <v>508</v>
      </c>
      <c r="C86" s="53" t="s">
        <v>503</v>
      </c>
      <c r="D86" s="53" t="s">
        <v>505</v>
      </c>
      <c r="E86" s="53" t="s">
        <v>496</v>
      </c>
      <c r="F86" s="53">
        <v>0.28999999999999998</v>
      </c>
    </row>
    <row r="87" spans="1:6">
      <c r="A87" s="52">
        <v>43344</v>
      </c>
      <c r="B87" s="53" t="s">
        <v>509</v>
      </c>
      <c r="C87" s="53" t="s">
        <v>503</v>
      </c>
      <c r="D87" s="53" t="s">
        <v>505</v>
      </c>
      <c r="E87" s="53" t="s">
        <v>496</v>
      </c>
      <c r="F87" s="53">
        <v>0.33</v>
      </c>
    </row>
    <row r="88" spans="1:6">
      <c r="A88" s="52">
        <v>43344</v>
      </c>
      <c r="B88" s="53" t="s">
        <v>508</v>
      </c>
      <c r="C88" s="53" t="s">
        <v>506</v>
      </c>
      <c r="D88" s="53" t="s">
        <v>505</v>
      </c>
      <c r="E88" s="53" t="s">
        <v>496</v>
      </c>
      <c r="F88" s="53">
        <v>0.41</v>
      </c>
    </row>
    <row r="89" spans="1:6">
      <c r="A89" s="52">
        <v>43344</v>
      </c>
      <c r="B89" s="53" t="s">
        <v>509</v>
      </c>
      <c r="C89" s="53" t="s">
        <v>506</v>
      </c>
      <c r="D89" s="53" t="s">
        <v>505</v>
      </c>
      <c r="E89" s="53" t="s">
        <v>496</v>
      </c>
      <c r="F89" s="53">
        <v>0.47</v>
      </c>
    </row>
    <row r="90" spans="1:6">
      <c r="A90" s="52">
        <v>43344</v>
      </c>
      <c r="B90" s="53" t="s">
        <v>510</v>
      </c>
      <c r="C90" s="53" t="s">
        <v>503</v>
      </c>
      <c r="D90" s="53" t="s">
        <v>504</v>
      </c>
      <c r="E90" s="53" t="s">
        <v>496</v>
      </c>
      <c r="F90" s="53">
        <v>0.81</v>
      </c>
    </row>
    <row r="91" spans="1:6">
      <c r="A91" s="52">
        <v>43344</v>
      </c>
      <c r="B91" s="53" t="s">
        <v>510</v>
      </c>
      <c r="C91" s="53" t="s">
        <v>503</v>
      </c>
      <c r="D91" s="53" t="s">
        <v>505</v>
      </c>
      <c r="E91" s="53" t="s">
        <v>496</v>
      </c>
      <c r="F91" s="53">
        <v>0.81</v>
      </c>
    </row>
    <row r="92" spans="1:6">
      <c r="A92" s="52">
        <v>43344</v>
      </c>
      <c r="B92" s="53" t="s">
        <v>510</v>
      </c>
      <c r="C92" s="53" t="s">
        <v>506</v>
      </c>
      <c r="D92" s="53" t="s">
        <v>504</v>
      </c>
      <c r="E92" s="53" t="s">
        <v>496</v>
      </c>
      <c r="F92" s="53">
        <v>0.81</v>
      </c>
    </row>
    <row r="93" spans="1:6">
      <c r="A93" s="52">
        <v>43344</v>
      </c>
      <c r="B93" s="53" t="s">
        <v>510</v>
      </c>
      <c r="C93" s="53" t="s">
        <v>506</v>
      </c>
      <c r="D93" s="53" t="s">
        <v>505</v>
      </c>
      <c r="E93" s="53" t="s">
        <v>496</v>
      </c>
      <c r="F93" s="53">
        <v>0.81</v>
      </c>
    </row>
    <row r="94" spans="1:6">
      <c r="A94" s="52">
        <v>43344</v>
      </c>
      <c r="B94" s="53" t="s">
        <v>511</v>
      </c>
      <c r="C94" s="53" t="s">
        <v>503</v>
      </c>
      <c r="D94" s="53" t="s">
        <v>504</v>
      </c>
      <c r="E94" s="53" t="s">
        <v>496</v>
      </c>
      <c r="F94" s="53">
        <v>1.1599999999999999</v>
      </c>
    </row>
    <row r="95" spans="1:6">
      <c r="A95" s="52">
        <v>43344</v>
      </c>
      <c r="B95" s="53" t="s">
        <v>511</v>
      </c>
      <c r="C95" s="53" t="s">
        <v>503</v>
      </c>
      <c r="D95" s="53" t="s">
        <v>505</v>
      </c>
      <c r="E95" s="53" t="s">
        <v>496</v>
      </c>
      <c r="F95" s="53">
        <v>1.1599999999999999</v>
      </c>
    </row>
    <row r="96" spans="1:6">
      <c r="A96" s="52">
        <v>43344</v>
      </c>
      <c r="B96" s="53" t="s">
        <v>511</v>
      </c>
      <c r="C96" s="53" t="s">
        <v>506</v>
      </c>
      <c r="D96" s="53" t="s">
        <v>504</v>
      </c>
      <c r="E96" s="53" t="s">
        <v>496</v>
      </c>
      <c r="F96" s="53">
        <v>1.1599999999999999</v>
      </c>
    </row>
    <row r="97" spans="1:6">
      <c r="A97" s="52">
        <v>43344</v>
      </c>
      <c r="B97" s="53" t="s">
        <v>511</v>
      </c>
      <c r="C97" s="53" t="s">
        <v>506</v>
      </c>
      <c r="D97" s="53" t="s">
        <v>505</v>
      </c>
      <c r="E97" s="53" t="s">
        <v>496</v>
      </c>
      <c r="F97" s="53">
        <v>1.1599999999999999</v>
      </c>
    </row>
    <row r="98" spans="1:6">
      <c r="A98" s="52">
        <v>42370</v>
      </c>
      <c r="B98" s="53" t="s">
        <v>502</v>
      </c>
      <c r="C98" s="53" t="s">
        <v>503</v>
      </c>
      <c r="D98" s="53" t="s">
        <v>504</v>
      </c>
      <c r="E98" s="53" t="s">
        <v>494</v>
      </c>
      <c r="F98" s="53">
        <v>0.21</v>
      </c>
    </row>
    <row r="99" spans="1:6">
      <c r="A99" s="52">
        <v>42370</v>
      </c>
      <c r="B99" s="53" t="s">
        <v>502</v>
      </c>
      <c r="C99" s="53" t="s">
        <v>503</v>
      </c>
      <c r="D99" s="53" t="s">
        <v>505</v>
      </c>
      <c r="E99" s="53" t="s">
        <v>494</v>
      </c>
      <c r="F99" s="53">
        <v>0.26</v>
      </c>
    </row>
    <row r="100" spans="1:6">
      <c r="A100" s="52">
        <v>42370</v>
      </c>
      <c r="B100" s="53" t="s">
        <v>502</v>
      </c>
      <c r="C100" s="53" t="s">
        <v>506</v>
      </c>
      <c r="D100" s="53" t="s">
        <v>504</v>
      </c>
      <c r="E100" s="53" t="s">
        <v>494</v>
      </c>
      <c r="F100" s="53">
        <v>0.3</v>
      </c>
    </row>
    <row r="101" spans="1:6">
      <c r="A101" s="52">
        <v>42370</v>
      </c>
      <c r="B101" s="53" t="s">
        <v>502</v>
      </c>
      <c r="C101" s="53" t="s">
        <v>506</v>
      </c>
      <c r="D101" s="53" t="s">
        <v>505</v>
      </c>
      <c r="E101" s="53" t="s">
        <v>494</v>
      </c>
      <c r="F101" s="53">
        <v>0.36</v>
      </c>
    </row>
    <row r="102" spans="1:6">
      <c r="A102" s="52">
        <v>42370</v>
      </c>
      <c r="B102" s="53" t="s">
        <v>507</v>
      </c>
      <c r="C102" s="53" t="s">
        <v>503</v>
      </c>
      <c r="D102" s="53" t="s">
        <v>504</v>
      </c>
      <c r="E102" s="53" t="s">
        <v>494</v>
      </c>
      <c r="F102" s="53">
        <v>0.15</v>
      </c>
    </row>
    <row r="103" spans="1:6">
      <c r="A103" s="52">
        <v>42370</v>
      </c>
      <c r="B103" s="53" t="s">
        <v>507</v>
      </c>
      <c r="C103" s="53" t="s">
        <v>506</v>
      </c>
      <c r="D103" s="53" t="s">
        <v>504</v>
      </c>
      <c r="E103" s="53" t="s">
        <v>494</v>
      </c>
      <c r="F103" s="53">
        <v>0.22</v>
      </c>
    </row>
    <row r="104" spans="1:6">
      <c r="A104" s="52">
        <v>42370</v>
      </c>
      <c r="B104" s="53" t="s">
        <v>507</v>
      </c>
      <c r="C104" s="53" t="s">
        <v>503</v>
      </c>
      <c r="D104" s="53" t="s">
        <v>505</v>
      </c>
      <c r="E104" s="53" t="s">
        <v>494</v>
      </c>
      <c r="F104" s="53">
        <v>0.15</v>
      </c>
    </row>
    <row r="105" spans="1:6">
      <c r="A105" s="52">
        <v>42370</v>
      </c>
      <c r="B105" s="53" t="s">
        <v>507</v>
      </c>
      <c r="C105" s="53" t="s">
        <v>506</v>
      </c>
      <c r="D105" s="53" t="s">
        <v>505</v>
      </c>
      <c r="E105" s="53" t="s">
        <v>494</v>
      </c>
      <c r="F105" s="53">
        <v>0.22</v>
      </c>
    </row>
    <row r="106" spans="1:6">
      <c r="A106" s="52">
        <v>42370</v>
      </c>
      <c r="B106" s="53" t="s">
        <v>508</v>
      </c>
      <c r="C106" s="53" t="s">
        <v>503</v>
      </c>
      <c r="D106" s="53" t="s">
        <v>504</v>
      </c>
      <c r="E106" s="53" t="s">
        <v>494</v>
      </c>
      <c r="F106" s="53">
        <v>0.18</v>
      </c>
    </row>
    <row r="107" spans="1:6">
      <c r="A107" s="52">
        <v>42370</v>
      </c>
      <c r="B107" s="53" t="s">
        <v>509</v>
      </c>
      <c r="C107" s="53" t="s">
        <v>503</v>
      </c>
      <c r="D107" s="53" t="s">
        <v>504</v>
      </c>
      <c r="E107" s="53" t="s">
        <v>494</v>
      </c>
      <c r="F107" s="53">
        <v>0.22</v>
      </c>
    </row>
    <row r="108" spans="1:6">
      <c r="A108" s="52">
        <v>42370</v>
      </c>
      <c r="B108" s="53" t="s">
        <v>508</v>
      </c>
      <c r="C108" s="53" t="s">
        <v>506</v>
      </c>
      <c r="D108" s="53" t="s">
        <v>504</v>
      </c>
      <c r="E108" s="53" t="s">
        <v>494</v>
      </c>
      <c r="F108" s="53">
        <v>0.26</v>
      </c>
    </row>
    <row r="109" spans="1:6">
      <c r="A109" s="52">
        <v>42370</v>
      </c>
      <c r="B109" s="53" t="s">
        <v>509</v>
      </c>
      <c r="C109" s="53" t="s">
        <v>506</v>
      </c>
      <c r="D109" s="53" t="s">
        <v>504</v>
      </c>
      <c r="E109" s="53" t="s">
        <v>494</v>
      </c>
      <c r="F109" s="53">
        <v>0.3</v>
      </c>
    </row>
    <row r="110" spans="1:6">
      <c r="A110" s="52">
        <v>42370</v>
      </c>
      <c r="B110" s="53" t="s">
        <v>508</v>
      </c>
      <c r="C110" s="53" t="s">
        <v>503</v>
      </c>
      <c r="D110" s="53" t="s">
        <v>505</v>
      </c>
      <c r="E110" s="53" t="s">
        <v>494</v>
      </c>
      <c r="F110" s="53">
        <v>0.18</v>
      </c>
    </row>
    <row r="111" spans="1:6">
      <c r="A111" s="52">
        <v>42370</v>
      </c>
      <c r="B111" s="53" t="s">
        <v>509</v>
      </c>
      <c r="C111" s="53" t="s">
        <v>503</v>
      </c>
      <c r="D111" s="53" t="s">
        <v>505</v>
      </c>
      <c r="E111" s="53" t="s">
        <v>494</v>
      </c>
      <c r="F111" s="53">
        <v>0.22</v>
      </c>
    </row>
    <row r="112" spans="1:6">
      <c r="A112" s="52">
        <v>42370</v>
      </c>
      <c r="B112" s="53" t="s">
        <v>508</v>
      </c>
      <c r="C112" s="53" t="s">
        <v>506</v>
      </c>
      <c r="D112" s="53" t="s">
        <v>505</v>
      </c>
      <c r="E112" s="53" t="s">
        <v>494</v>
      </c>
      <c r="F112" s="53">
        <v>0.26</v>
      </c>
    </row>
    <row r="113" spans="1:6">
      <c r="A113" s="52">
        <v>42370</v>
      </c>
      <c r="B113" s="53" t="s">
        <v>509</v>
      </c>
      <c r="C113" s="53" t="s">
        <v>506</v>
      </c>
      <c r="D113" s="53" t="s">
        <v>505</v>
      </c>
      <c r="E113" s="53" t="s">
        <v>494</v>
      </c>
      <c r="F113" s="53">
        <v>0.3</v>
      </c>
    </row>
    <row r="114" spans="1:6">
      <c r="A114" s="52">
        <v>42370</v>
      </c>
      <c r="B114" s="53" t="s">
        <v>510</v>
      </c>
      <c r="C114" s="53" t="s">
        <v>503</v>
      </c>
      <c r="D114" s="53" t="s">
        <v>504</v>
      </c>
      <c r="E114" s="53" t="s">
        <v>494</v>
      </c>
      <c r="F114" s="53">
        <v>0.81</v>
      </c>
    </row>
    <row r="115" spans="1:6">
      <c r="A115" s="52">
        <v>42370</v>
      </c>
      <c r="B115" s="53" t="s">
        <v>510</v>
      </c>
      <c r="C115" s="53" t="s">
        <v>503</v>
      </c>
      <c r="D115" s="53" t="s">
        <v>505</v>
      </c>
      <c r="E115" s="53" t="s">
        <v>494</v>
      </c>
      <c r="F115" s="53">
        <v>0.81</v>
      </c>
    </row>
    <row r="116" spans="1:6">
      <c r="A116" s="52">
        <v>42370</v>
      </c>
      <c r="B116" s="53" t="s">
        <v>510</v>
      </c>
      <c r="C116" s="53" t="s">
        <v>506</v>
      </c>
      <c r="D116" s="53" t="s">
        <v>504</v>
      </c>
      <c r="E116" s="53" t="s">
        <v>494</v>
      </c>
      <c r="F116" s="53">
        <v>0.81</v>
      </c>
    </row>
    <row r="117" spans="1:6">
      <c r="A117" s="52">
        <v>42370</v>
      </c>
      <c r="B117" s="53" t="s">
        <v>510</v>
      </c>
      <c r="C117" s="53" t="s">
        <v>506</v>
      </c>
      <c r="D117" s="53" t="s">
        <v>505</v>
      </c>
      <c r="E117" s="53" t="s">
        <v>494</v>
      </c>
      <c r="F117" s="53">
        <v>0.81</v>
      </c>
    </row>
    <row r="118" spans="1:6">
      <c r="A118" s="52">
        <v>42370</v>
      </c>
      <c r="B118" s="53" t="s">
        <v>511</v>
      </c>
      <c r="C118" s="53" t="s">
        <v>503</v>
      </c>
      <c r="D118" s="53" t="s">
        <v>504</v>
      </c>
      <c r="E118" s="53" t="s">
        <v>494</v>
      </c>
      <c r="F118" s="53">
        <v>1.1599999999999999</v>
      </c>
    </row>
    <row r="119" spans="1:6">
      <c r="A119" s="52">
        <v>42370</v>
      </c>
      <c r="B119" s="53" t="s">
        <v>511</v>
      </c>
      <c r="C119" s="53" t="s">
        <v>503</v>
      </c>
      <c r="D119" s="53" t="s">
        <v>505</v>
      </c>
      <c r="E119" s="53" t="s">
        <v>494</v>
      </c>
      <c r="F119" s="53">
        <v>1.1599999999999999</v>
      </c>
    </row>
    <row r="120" spans="1:6">
      <c r="A120" s="52">
        <v>42370</v>
      </c>
      <c r="B120" s="53" t="s">
        <v>511</v>
      </c>
      <c r="C120" s="53" t="s">
        <v>506</v>
      </c>
      <c r="D120" s="53" t="s">
        <v>504</v>
      </c>
      <c r="E120" s="53" t="s">
        <v>494</v>
      </c>
      <c r="F120" s="53">
        <v>1.1599999999999999</v>
      </c>
    </row>
    <row r="121" spans="1:6">
      <c r="A121" s="52">
        <v>42370</v>
      </c>
      <c r="B121" s="53" t="s">
        <v>511</v>
      </c>
      <c r="C121" s="53" t="s">
        <v>506</v>
      </c>
      <c r="D121" s="53" t="s">
        <v>505</v>
      </c>
      <c r="E121" s="53" t="s">
        <v>494</v>
      </c>
      <c r="F121" s="53">
        <v>1.1599999999999999</v>
      </c>
    </row>
    <row r="122" spans="1:6">
      <c r="A122" s="52">
        <v>42370</v>
      </c>
      <c r="B122" s="53" t="s">
        <v>502</v>
      </c>
      <c r="C122" s="53" t="s">
        <v>503</v>
      </c>
      <c r="D122" s="53" t="s">
        <v>504</v>
      </c>
      <c r="E122" s="53" t="s">
        <v>493</v>
      </c>
      <c r="F122" s="53">
        <v>0.21</v>
      </c>
    </row>
    <row r="123" spans="1:6">
      <c r="A123" s="52">
        <v>42370</v>
      </c>
      <c r="B123" s="53" t="s">
        <v>502</v>
      </c>
      <c r="C123" s="53" t="s">
        <v>503</v>
      </c>
      <c r="D123" s="53" t="s">
        <v>505</v>
      </c>
      <c r="E123" s="53" t="s">
        <v>493</v>
      </c>
      <c r="F123" s="53">
        <v>0.26</v>
      </c>
    </row>
    <row r="124" spans="1:6">
      <c r="A124" s="52">
        <v>42370</v>
      </c>
      <c r="B124" s="53" t="s">
        <v>502</v>
      </c>
      <c r="C124" s="53" t="s">
        <v>506</v>
      </c>
      <c r="D124" s="53" t="s">
        <v>504</v>
      </c>
      <c r="E124" s="53" t="s">
        <v>493</v>
      </c>
      <c r="F124" s="53">
        <v>0.3</v>
      </c>
    </row>
    <row r="125" spans="1:6">
      <c r="A125" s="52">
        <v>42370</v>
      </c>
      <c r="B125" s="53" t="s">
        <v>502</v>
      </c>
      <c r="C125" s="53" t="s">
        <v>506</v>
      </c>
      <c r="D125" s="53" t="s">
        <v>505</v>
      </c>
      <c r="E125" s="53" t="s">
        <v>493</v>
      </c>
      <c r="F125" s="53">
        <v>0.36</v>
      </c>
    </row>
    <row r="126" spans="1:6">
      <c r="A126" s="52">
        <v>42370</v>
      </c>
      <c r="B126" s="53" t="s">
        <v>507</v>
      </c>
      <c r="C126" s="53" t="s">
        <v>503</v>
      </c>
      <c r="D126" s="53" t="s">
        <v>504</v>
      </c>
      <c r="E126" s="53" t="s">
        <v>493</v>
      </c>
      <c r="F126" s="53">
        <v>0.15</v>
      </c>
    </row>
    <row r="127" spans="1:6">
      <c r="A127" s="52">
        <v>42370</v>
      </c>
      <c r="B127" s="53" t="s">
        <v>507</v>
      </c>
      <c r="C127" s="53" t="s">
        <v>506</v>
      </c>
      <c r="D127" s="53" t="s">
        <v>504</v>
      </c>
      <c r="E127" s="53" t="s">
        <v>493</v>
      </c>
      <c r="F127" s="53">
        <v>0.22</v>
      </c>
    </row>
    <row r="128" spans="1:6">
      <c r="A128" s="52">
        <v>42370</v>
      </c>
      <c r="B128" s="53" t="s">
        <v>507</v>
      </c>
      <c r="C128" s="53" t="s">
        <v>503</v>
      </c>
      <c r="D128" s="53" t="s">
        <v>505</v>
      </c>
      <c r="E128" s="53" t="s">
        <v>493</v>
      </c>
      <c r="F128" s="53">
        <v>0.15</v>
      </c>
    </row>
    <row r="129" spans="1:6">
      <c r="A129" s="52">
        <v>42370</v>
      </c>
      <c r="B129" s="53" t="s">
        <v>507</v>
      </c>
      <c r="C129" s="53" t="s">
        <v>506</v>
      </c>
      <c r="D129" s="53" t="s">
        <v>505</v>
      </c>
      <c r="E129" s="53" t="s">
        <v>493</v>
      </c>
      <c r="F129" s="53">
        <v>0.22</v>
      </c>
    </row>
    <row r="130" spans="1:6">
      <c r="A130" s="52">
        <v>42370</v>
      </c>
      <c r="B130" s="53" t="s">
        <v>508</v>
      </c>
      <c r="C130" s="53" t="s">
        <v>503</v>
      </c>
      <c r="D130" s="53" t="s">
        <v>504</v>
      </c>
      <c r="E130" s="53" t="s">
        <v>493</v>
      </c>
      <c r="F130" s="53">
        <v>0.18</v>
      </c>
    </row>
    <row r="131" spans="1:6">
      <c r="A131" s="52">
        <v>42370</v>
      </c>
      <c r="B131" s="53" t="s">
        <v>509</v>
      </c>
      <c r="C131" s="53" t="s">
        <v>503</v>
      </c>
      <c r="D131" s="53" t="s">
        <v>504</v>
      </c>
      <c r="E131" s="53" t="s">
        <v>493</v>
      </c>
      <c r="F131" s="53">
        <v>0.22</v>
      </c>
    </row>
    <row r="132" spans="1:6">
      <c r="A132" s="52">
        <v>42370</v>
      </c>
      <c r="B132" s="53" t="s">
        <v>508</v>
      </c>
      <c r="C132" s="53" t="s">
        <v>506</v>
      </c>
      <c r="D132" s="53" t="s">
        <v>504</v>
      </c>
      <c r="E132" s="53" t="s">
        <v>493</v>
      </c>
      <c r="F132" s="53">
        <v>0.26</v>
      </c>
    </row>
    <row r="133" spans="1:6">
      <c r="A133" s="52">
        <v>42370</v>
      </c>
      <c r="B133" s="53" t="s">
        <v>509</v>
      </c>
      <c r="C133" s="53" t="s">
        <v>506</v>
      </c>
      <c r="D133" s="53" t="s">
        <v>504</v>
      </c>
      <c r="E133" s="53" t="s">
        <v>493</v>
      </c>
      <c r="F133" s="53">
        <v>0.3</v>
      </c>
    </row>
    <row r="134" spans="1:6">
      <c r="A134" s="52">
        <v>42370</v>
      </c>
      <c r="B134" s="53" t="s">
        <v>508</v>
      </c>
      <c r="C134" s="53" t="s">
        <v>503</v>
      </c>
      <c r="D134" s="53" t="s">
        <v>505</v>
      </c>
      <c r="E134" s="53" t="s">
        <v>493</v>
      </c>
      <c r="F134" s="53">
        <v>0.18</v>
      </c>
    </row>
    <row r="135" spans="1:6">
      <c r="A135" s="52">
        <v>42370</v>
      </c>
      <c r="B135" s="53" t="s">
        <v>509</v>
      </c>
      <c r="C135" s="53" t="s">
        <v>503</v>
      </c>
      <c r="D135" s="53" t="s">
        <v>505</v>
      </c>
      <c r="E135" s="53" t="s">
        <v>493</v>
      </c>
      <c r="F135" s="53">
        <v>0.22</v>
      </c>
    </row>
    <row r="136" spans="1:6">
      <c r="A136" s="52">
        <v>42370</v>
      </c>
      <c r="B136" s="53" t="s">
        <v>508</v>
      </c>
      <c r="C136" s="53" t="s">
        <v>506</v>
      </c>
      <c r="D136" s="53" t="s">
        <v>505</v>
      </c>
      <c r="E136" s="53" t="s">
        <v>493</v>
      </c>
      <c r="F136" s="53">
        <v>0.26</v>
      </c>
    </row>
    <row r="137" spans="1:6">
      <c r="A137" s="52">
        <v>42370</v>
      </c>
      <c r="B137" s="53" t="s">
        <v>509</v>
      </c>
      <c r="C137" s="53" t="s">
        <v>506</v>
      </c>
      <c r="D137" s="53" t="s">
        <v>505</v>
      </c>
      <c r="E137" s="53" t="s">
        <v>493</v>
      </c>
      <c r="F137" s="53">
        <v>0.3</v>
      </c>
    </row>
    <row r="138" spans="1:6">
      <c r="A138" s="52">
        <v>42370</v>
      </c>
      <c r="B138" s="53" t="s">
        <v>510</v>
      </c>
      <c r="C138" s="53" t="s">
        <v>503</v>
      </c>
      <c r="D138" s="53" t="s">
        <v>504</v>
      </c>
      <c r="E138" s="53" t="s">
        <v>493</v>
      </c>
      <c r="F138" s="53">
        <v>0.81</v>
      </c>
    </row>
    <row r="139" spans="1:6">
      <c r="A139" s="52">
        <v>42370</v>
      </c>
      <c r="B139" s="53" t="s">
        <v>510</v>
      </c>
      <c r="C139" s="53" t="s">
        <v>503</v>
      </c>
      <c r="D139" s="53" t="s">
        <v>505</v>
      </c>
      <c r="E139" s="53" t="s">
        <v>493</v>
      </c>
      <c r="F139" s="53">
        <v>0.81</v>
      </c>
    </row>
    <row r="140" spans="1:6">
      <c r="A140" s="52">
        <v>42370</v>
      </c>
      <c r="B140" s="53" t="s">
        <v>510</v>
      </c>
      <c r="C140" s="53" t="s">
        <v>506</v>
      </c>
      <c r="D140" s="53" t="s">
        <v>504</v>
      </c>
      <c r="E140" s="53" t="s">
        <v>493</v>
      </c>
      <c r="F140" s="53">
        <v>0.81</v>
      </c>
    </row>
    <row r="141" spans="1:6">
      <c r="A141" s="52">
        <v>42370</v>
      </c>
      <c r="B141" s="53" t="s">
        <v>510</v>
      </c>
      <c r="C141" s="53" t="s">
        <v>506</v>
      </c>
      <c r="D141" s="53" t="s">
        <v>505</v>
      </c>
      <c r="E141" s="53" t="s">
        <v>493</v>
      </c>
      <c r="F141" s="53">
        <v>0.81</v>
      </c>
    </row>
    <row r="142" spans="1:6">
      <c r="A142" s="52">
        <v>42370</v>
      </c>
      <c r="B142" s="53" t="s">
        <v>511</v>
      </c>
      <c r="C142" s="53" t="s">
        <v>503</v>
      </c>
      <c r="D142" s="53" t="s">
        <v>504</v>
      </c>
      <c r="E142" s="53" t="s">
        <v>493</v>
      </c>
      <c r="F142" s="53">
        <v>1.1599999999999999</v>
      </c>
    </row>
    <row r="143" spans="1:6">
      <c r="A143" s="52">
        <v>42370</v>
      </c>
      <c r="B143" s="53" t="s">
        <v>511</v>
      </c>
      <c r="C143" s="53" t="s">
        <v>503</v>
      </c>
      <c r="D143" s="53" t="s">
        <v>505</v>
      </c>
      <c r="E143" s="53" t="s">
        <v>493</v>
      </c>
      <c r="F143" s="53">
        <v>1.1599999999999999</v>
      </c>
    </row>
    <row r="144" spans="1:6">
      <c r="A144" s="52">
        <v>42370</v>
      </c>
      <c r="B144" s="53" t="s">
        <v>511</v>
      </c>
      <c r="C144" s="53" t="s">
        <v>506</v>
      </c>
      <c r="D144" s="53" t="s">
        <v>504</v>
      </c>
      <c r="E144" s="53" t="s">
        <v>493</v>
      </c>
      <c r="F144" s="53">
        <v>1.1599999999999999</v>
      </c>
    </row>
    <row r="145" spans="1:6">
      <c r="A145" s="52">
        <v>42370</v>
      </c>
      <c r="B145" s="53" t="s">
        <v>511</v>
      </c>
      <c r="C145" s="53" t="s">
        <v>506</v>
      </c>
      <c r="D145" s="53" t="s">
        <v>505</v>
      </c>
      <c r="E145" s="53" t="s">
        <v>493</v>
      </c>
      <c r="F145" s="53">
        <v>1.1599999999999999</v>
      </c>
    </row>
    <row r="146" spans="1:6">
      <c r="A146" s="52">
        <v>42370</v>
      </c>
      <c r="B146" s="53" t="s">
        <v>502</v>
      </c>
      <c r="C146" s="53" t="s">
        <v>503</v>
      </c>
      <c r="D146" s="53" t="s">
        <v>504</v>
      </c>
      <c r="E146" s="53" t="s">
        <v>495</v>
      </c>
      <c r="F146" s="53">
        <v>0.26</v>
      </c>
    </row>
    <row r="147" spans="1:6">
      <c r="A147" s="52">
        <v>42370</v>
      </c>
      <c r="B147" s="53" t="s">
        <v>502</v>
      </c>
      <c r="C147" s="53" t="s">
        <v>503</v>
      </c>
      <c r="D147" s="53" t="s">
        <v>505</v>
      </c>
      <c r="E147" s="53" t="s">
        <v>495</v>
      </c>
      <c r="F147" s="53">
        <v>0.32</v>
      </c>
    </row>
    <row r="148" spans="1:6">
      <c r="A148" s="52">
        <v>42370</v>
      </c>
      <c r="B148" s="53" t="s">
        <v>502</v>
      </c>
      <c r="C148" s="53" t="s">
        <v>506</v>
      </c>
      <c r="D148" s="53" t="s">
        <v>504</v>
      </c>
      <c r="E148" s="53" t="s">
        <v>495</v>
      </c>
      <c r="F148" s="53">
        <v>0.37</v>
      </c>
    </row>
    <row r="149" spans="1:6">
      <c r="A149" s="52">
        <v>42370</v>
      </c>
      <c r="B149" s="53" t="s">
        <v>502</v>
      </c>
      <c r="C149" s="53" t="s">
        <v>506</v>
      </c>
      <c r="D149" s="53" t="s">
        <v>505</v>
      </c>
      <c r="E149" s="53" t="s">
        <v>495</v>
      </c>
      <c r="F149" s="53">
        <v>0.45</v>
      </c>
    </row>
    <row r="150" spans="1:6">
      <c r="A150" s="52">
        <v>42370</v>
      </c>
      <c r="B150" s="53" t="s">
        <v>507</v>
      </c>
      <c r="C150" s="53" t="s">
        <v>503</v>
      </c>
      <c r="D150" s="53" t="s">
        <v>504</v>
      </c>
      <c r="E150" s="53" t="s">
        <v>495</v>
      </c>
      <c r="F150" s="53">
        <v>0.18</v>
      </c>
    </row>
    <row r="151" spans="1:6">
      <c r="A151" s="52">
        <v>42370</v>
      </c>
      <c r="B151" s="53" t="s">
        <v>507</v>
      </c>
      <c r="C151" s="53" t="s">
        <v>506</v>
      </c>
      <c r="D151" s="53" t="s">
        <v>504</v>
      </c>
      <c r="E151" s="53" t="s">
        <v>495</v>
      </c>
      <c r="F151" s="53">
        <v>0.26</v>
      </c>
    </row>
    <row r="152" spans="1:6">
      <c r="A152" s="52">
        <v>42370</v>
      </c>
      <c r="B152" s="53" t="s">
        <v>507</v>
      </c>
      <c r="C152" s="53" t="s">
        <v>503</v>
      </c>
      <c r="D152" s="53" t="s">
        <v>505</v>
      </c>
      <c r="E152" s="53" t="s">
        <v>495</v>
      </c>
      <c r="F152" s="53">
        <v>0.18</v>
      </c>
    </row>
    <row r="153" spans="1:6">
      <c r="A153" s="52">
        <v>42370</v>
      </c>
      <c r="B153" s="53" t="s">
        <v>507</v>
      </c>
      <c r="C153" s="53" t="s">
        <v>506</v>
      </c>
      <c r="D153" s="53" t="s">
        <v>505</v>
      </c>
      <c r="E153" s="53" t="s">
        <v>495</v>
      </c>
      <c r="F153" s="53">
        <v>0.26</v>
      </c>
    </row>
    <row r="154" spans="1:6">
      <c r="A154" s="52">
        <v>42370</v>
      </c>
      <c r="B154" s="53" t="s">
        <v>508</v>
      </c>
      <c r="C154" s="53" t="s">
        <v>503</v>
      </c>
      <c r="D154" s="53" t="s">
        <v>504</v>
      </c>
      <c r="E154" s="53" t="s">
        <v>495</v>
      </c>
      <c r="F154" s="53">
        <v>0.22</v>
      </c>
    </row>
    <row r="155" spans="1:6">
      <c r="A155" s="52">
        <v>42370</v>
      </c>
      <c r="B155" s="53" t="s">
        <v>509</v>
      </c>
      <c r="C155" s="53" t="s">
        <v>503</v>
      </c>
      <c r="D155" s="53" t="s">
        <v>504</v>
      </c>
      <c r="E155" s="53" t="s">
        <v>495</v>
      </c>
      <c r="F155" s="53">
        <v>0.25</v>
      </c>
    </row>
    <row r="156" spans="1:6">
      <c r="A156" s="52">
        <v>42370</v>
      </c>
      <c r="B156" s="53" t="s">
        <v>508</v>
      </c>
      <c r="C156" s="53" t="s">
        <v>506</v>
      </c>
      <c r="D156" s="53" t="s">
        <v>504</v>
      </c>
      <c r="E156" s="53" t="s">
        <v>495</v>
      </c>
      <c r="F156" s="53">
        <v>0.31</v>
      </c>
    </row>
    <row r="157" spans="1:6">
      <c r="A157" s="52">
        <v>42370</v>
      </c>
      <c r="B157" s="53" t="s">
        <v>509</v>
      </c>
      <c r="C157" s="53" t="s">
        <v>506</v>
      </c>
      <c r="D157" s="53" t="s">
        <v>504</v>
      </c>
      <c r="E157" s="53" t="s">
        <v>495</v>
      </c>
      <c r="F157" s="53">
        <v>0.35</v>
      </c>
    </row>
    <row r="158" spans="1:6">
      <c r="A158" s="52">
        <v>42370</v>
      </c>
      <c r="B158" s="53" t="s">
        <v>508</v>
      </c>
      <c r="C158" s="53" t="s">
        <v>503</v>
      </c>
      <c r="D158" s="53" t="s">
        <v>505</v>
      </c>
      <c r="E158" s="53" t="s">
        <v>495</v>
      </c>
      <c r="F158" s="53">
        <v>0.22</v>
      </c>
    </row>
    <row r="159" spans="1:6">
      <c r="A159" s="52">
        <v>42370</v>
      </c>
      <c r="B159" s="53" t="s">
        <v>509</v>
      </c>
      <c r="C159" s="53" t="s">
        <v>503</v>
      </c>
      <c r="D159" s="53" t="s">
        <v>505</v>
      </c>
      <c r="E159" s="53" t="s">
        <v>495</v>
      </c>
      <c r="F159" s="53">
        <v>0.25</v>
      </c>
    </row>
    <row r="160" spans="1:6">
      <c r="A160" s="52">
        <v>42370</v>
      </c>
      <c r="B160" s="53" t="s">
        <v>508</v>
      </c>
      <c r="C160" s="53" t="s">
        <v>506</v>
      </c>
      <c r="D160" s="53" t="s">
        <v>505</v>
      </c>
      <c r="E160" s="53" t="s">
        <v>495</v>
      </c>
      <c r="F160" s="53">
        <v>0.31</v>
      </c>
    </row>
    <row r="161" spans="1:6">
      <c r="A161" s="52">
        <v>42370</v>
      </c>
      <c r="B161" s="53" t="s">
        <v>509</v>
      </c>
      <c r="C161" s="53" t="s">
        <v>506</v>
      </c>
      <c r="D161" s="53" t="s">
        <v>505</v>
      </c>
      <c r="E161" s="53" t="s">
        <v>495</v>
      </c>
      <c r="F161" s="53">
        <v>0.35</v>
      </c>
    </row>
    <row r="162" spans="1:6">
      <c r="A162" s="52">
        <v>42370</v>
      </c>
      <c r="B162" s="53" t="s">
        <v>510</v>
      </c>
      <c r="C162" s="53" t="s">
        <v>503</v>
      </c>
      <c r="D162" s="53" t="s">
        <v>504</v>
      </c>
      <c r="E162" s="53" t="s">
        <v>495</v>
      </c>
      <c r="F162" s="53">
        <v>0.81</v>
      </c>
    </row>
    <row r="163" spans="1:6">
      <c r="A163" s="52">
        <v>42370</v>
      </c>
      <c r="B163" s="53" t="s">
        <v>510</v>
      </c>
      <c r="C163" s="53" t="s">
        <v>503</v>
      </c>
      <c r="D163" s="53" t="s">
        <v>505</v>
      </c>
      <c r="E163" s="53" t="s">
        <v>495</v>
      </c>
      <c r="F163" s="53">
        <v>0.81</v>
      </c>
    </row>
    <row r="164" spans="1:6">
      <c r="A164" s="52">
        <v>42370</v>
      </c>
      <c r="B164" s="53" t="s">
        <v>510</v>
      </c>
      <c r="C164" s="53" t="s">
        <v>506</v>
      </c>
      <c r="D164" s="53" t="s">
        <v>504</v>
      </c>
      <c r="E164" s="53" t="s">
        <v>495</v>
      </c>
      <c r="F164" s="53">
        <v>0.81</v>
      </c>
    </row>
    <row r="165" spans="1:6">
      <c r="A165" s="52">
        <v>42370</v>
      </c>
      <c r="B165" s="53" t="s">
        <v>510</v>
      </c>
      <c r="C165" s="53" t="s">
        <v>506</v>
      </c>
      <c r="D165" s="53" t="s">
        <v>505</v>
      </c>
      <c r="E165" s="53" t="s">
        <v>495</v>
      </c>
      <c r="F165" s="53">
        <v>0.81</v>
      </c>
    </row>
    <row r="166" spans="1:6">
      <c r="A166" s="52">
        <v>42370</v>
      </c>
      <c r="B166" s="53" t="s">
        <v>511</v>
      </c>
      <c r="C166" s="53" t="s">
        <v>503</v>
      </c>
      <c r="D166" s="53" t="s">
        <v>504</v>
      </c>
      <c r="E166" s="53" t="s">
        <v>495</v>
      </c>
      <c r="F166" s="53">
        <v>1.1599999999999999</v>
      </c>
    </row>
    <row r="167" spans="1:6">
      <c r="A167" s="52">
        <v>42370</v>
      </c>
      <c r="B167" s="53" t="s">
        <v>511</v>
      </c>
      <c r="C167" s="53" t="s">
        <v>503</v>
      </c>
      <c r="D167" s="53" t="s">
        <v>505</v>
      </c>
      <c r="E167" s="53" t="s">
        <v>495</v>
      </c>
      <c r="F167" s="53">
        <v>1.1599999999999999</v>
      </c>
    </row>
    <row r="168" spans="1:6">
      <c r="A168" s="52">
        <v>42370</v>
      </c>
      <c r="B168" s="53" t="s">
        <v>511</v>
      </c>
      <c r="C168" s="53" t="s">
        <v>506</v>
      </c>
      <c r="D168" s="53" t="s">
        <v>504</v>
      </c>
      <c r="E168" s="53" t="s">
        <v>495</v>
      </c>
      <c r="F168" s="53">
        <v>1.1599999999999999</v>
      </c>
    </row>
    <row r="169" spans="1:6">
      <c r="A169" s="52">
        <v>42370</v>
      </c>
      <c r="B169" s="53" t="s">
        <v>511</v>
      </c>
      <c r="C169" s="53" t="s">
        <v>506</v>
      </c>
      <c r="D169" s="53" t="s">
        <v>505</v>
      </c>
      <c r="E169" s="53" t="s">
        <v>495</v>
      </c>
      <c r="F169" s="53">
        <v>1.1599999999999999</v>
      </c>
    </row>
    <row r="170" spans="1:6">
      <c r="A170" s="52">
        <v>42370</v>
      </c>
      <c r="B170" s="53" t="s">
        <v>502</v>
      </c>
      <c r="C170" s="53" t="s">
        <v>503</v>
      </c>
      <c r="D170" s="53" t="s">
        <v>504</v>
      </c>
      <c r="E170" s="53" t="s">
        <v>496</v>
      </c>
      <c r="F170" s="53">
        <v>0.36</v>
      </c>
    </row>
    <row r="171" spans="1:6">
      <c r="A171" s="52">
        <v>42370</v>
      </c>
      <c r="B171" s="53" t="s">
        <v>502</v>
      </c>
      <c r="C171" s="53" t="s">
        <v>503</v>
      </c>
      <c r="D171" s="53" t="s">
        <v>505</v>
      </c>
      <c r="E171" s="53" t="s">
        <v>496</v>
      </c>
      <c r="F171" s="53">
        <v>0.43</v>
      </c>
    </row>
    <row r="172" spans="1:6">
      <c r="A172" s="52">
        <v>42370</v>
      </c>
      <c r="B172" s="53" t="s">
        <v>502</v>
      </c>
      <c r="C172" s="53" t="s">
        <v>506</v>
      </c>
      <c r="D172" s="53" t="s">
        <v>504</v>
      </c>
      <c r="E172" s="53" t="s">
        <v>496</v>
      </c>
      <c r="F172" s="53">
        <v>0.52</v>
      </c>
    </row>
    <row r="173" spans="1:6">
      <c r="A173" s="52">
        <v>42370</v>
      </c>
      <c r="B173" s="53" t="s">
        <v>502</v>
      </c>
      <c r="C173" s="53" t="s">
        <v>506</v>
      </c>
      <c r="D173" s="53" t="s">
        <v>505</v>
      </c>
      <c r="E173" s="53" t="s">
        <v>496</v>
      </c>
      <c r="F173" s="53">
        <v>0.62</v>
      </c>
    </row>
    <row r="174" spans="1:6">
      <c r="A174" s="52">
        <v>42370</v>
      </c>
      <c r="B174" s="53" t="s">
        <v>507</v>
      </c>
      <c r="C174" s="53" t="s">
        <v>503</v>
      </c>
      <c r="D174" s="53" t="s">
        <v>504</v>
      </c>
      <c r="E174" s="53" t="s">
        <v>496</v>
      </c>
      <c r="F174" s="53">
        <v>0.25</v>
      </c>
    </row>
    <row r="175" spans="1:6">
      <c r="A175" s="52">
        <v>42370</v>
      </c>
      <c r="B175" s="53" t="s">
        <v>507</v>
      </c>
      <c r="C175" s="53" t="s">
        <v>506</v>
      </c>
      <c r="D175" s="53" t="s">
        <v>504</v>
      </c>
      <c r="E175" s="53" t="s">
        <v>496</v>
      </c>
      <c r="F175" s="53">
        <v>0.35</v>
      </c>
    </row>
    <row r="176" spans="1:6">
      <c r="A176" s="52">
        <v>42370</v>
      </c>
      <c r="B176" s="53" t="s">
        <v>507</v>
      </c>
      <c r="C176" s="53" t="s">
        <v>503</v>
      </c>
      <c r="D176" s="53" t="s">
        <v>505</v>
      </c>
      <c r="E176" s="53" t="s">
        <v>496</v>
      </c>
      <c r="F176" s="53">
        <v>0.25</v>
      </c>
    </row>
    <row r="177" spans="1:6">
      <c r="A177" s="52">
        <v>42370</v>
      </c>
      <c r="B177" s="53" t="s">
        <v>507</v>
      </c>
      <c r="C177" s="53" t="s">
        <v>506</v>
      </c>
      <c r="D177" s="53" t="s">
        <v>505</v>
      </c>
      <c r="E177" s="53" t="s">
        <v>496</v>
      </c>
      <c r="F177" s="53">
        <v>0.35</v>
      </c>
    </row>
    <row r="178" spans="1:6">
      <c r="A178" s="52">
        <v>42370</v>
      </c>
      <c r="B178" s="53" t="s">
        <v>508</v>
      </c>
      <c r="C178" s="53" t="s">
        <v>503</v>
      </c>
      <c r="D178" s="53" t="s">
        <v>504</v>
      </c>
      <c r="E178" s="53" t="s">
        <v>496</v>
      </c>
      <c r="F178" s="53">
        <v>0.28999999999999998</v>
      </c>
    </row>
    <row r="179" spans="1:6">
      <c r="A179" s="52">
        <v>42370</v>
      </c>
      <c r="B179" s="53" t="s">
        <v>509</v>
      </c>
      <c r="C179" s="53" t="s">
        <v>503</v>
      </c>
      <c r="D179" s="53" t="s">
        <v>504</v>
      </c>
      <c r="E179" s="53" t="s">
        <v>496</v>
      </c>
      <c r="F179" s="53">
        <v>0.33</v>
      </c>
    </row>
    <row r="180" spans="1:6">
      <c r="A180" s="52">
        <v>42370</v>
      </c>
      <c r="B180" s="53" t="s">
        <v>508</v>
      </c>
      <c r="C180" s="53" t="s">
        <v>506</v>
      </c>
      <c r="D180" s="53" t="s">
        <v>504</v>
      </c>
      <c r="E180" s="53" t="s">
        <v>496</v>
      </c>
      <c r="F180" s="53">
        <v>0.41</v>
      </c>
    </row>
    <row r="181" spans="1:6">
      <c r="A181" s="52">
        <v>42370</v>
      </c>
      <c r="B181" s="53" t="s">
        <v>509</v>
      </c>
      <c r="C181" s="53" t="s">
        <v>506</v>
      </c>
      <c r="D181" s="53" t="s">
        <v>504</v>
      </c>
      <c r="E181" s="53" t="s">
        <v>496</v>
      </c>
      <c r="F181" s="53">
        <v>0.47</v>
      </c>
    </row>
    <row r="182" spans="1:6">
      <c r="A182" s="52">
        <v>42370</v>
      </c>
      <c r="B182" s="53" t="s">
        <v>508</v>
      </c>
      <c r="C182" s="53" t="s">
        <v>503</v>
      </c>
      <c r="D182" s="53" t="s">
        <v>505</v>
      </c>
      <c r="E182" s="53" t="s">
        <v>496</v>
      </c>
      <c r="F182" s="53">
        <v>0.28999999999999998</v>
      </c>
    </row>
    <row r="183" spans="1:6">
      <c r="A183" s="52">
        <v>42370</v>
      </c>
      <c r="B183" s="53" t="s">
        <v>509</v>
      </c>
      <c r="C183" s="53" t="s">
        <v>503</v>
      </c>
      <c r="D183" s="53" t="s">
        <v>505</v>
      </c>
      <c r="E183" s="53" t="s">
        <v>496</v>
      </c>
      <c r="F183" s="53">
        <v>0.33</v>
      </c>
    </row>
    <row r="184" spans="1:6">
      <c r="A184" s="52">
        <v>42370</v>
      </c>
      <c r="B184" s="53" t="s">
        <v>508</v>
      </c>
      <c r="C184" s="53" t="s">
        <v>506</v>
      </c>
      <c r="D184" s="53" t="s">
        <v>505</v>
      </c>
      <c r="E184" s="53" t="s">
        <v>496</v>
      </c>
      <c r="F184" s="53">
        <v>0.41</v>
      </c>
    </row>
    <row r="185" spans="1:6">
      <c r="A185" s="52">
        <v>42370</v>
      </c>
      <c r="B185" s="53" t="s">
        <v>509</v>
      </c>
      <c r="C185" s="53" t="s">
        <v>506</v>
      </c>
      <c r="D185" s="53" t="s">
        <v>505</v>
      </c>
      <c r="E185" s="53" t="s">
        <v>496</v>
      </c>
      <c r="F185" s="53">
        <v>0.47</v>
      </c>
    </row>
    <row r="186" spans="1:6">
      <c r="A186" s="52">
        <v>42370</v>
      </c>
      <c r="B186" s="53" t="s">
        <v>510</v>
      </c>
      <c r="C186" s="53" t="s">
        <v>503</v>
      </c>
      <c r="D186" s="53" t="s">
        <v>504</v>
      </c>
      <c r="E186" s="53" t="s">
        <v>496</v>
      </c>
      <c r="F186" s="53">
        <v>0.81</v>
      </c>
    </row>
    <row r="187" spans="1:6">
      <c r="A187" s="52">
        <v>42370</v>
      </c>
      <c r="B187" s="53" t="s">
        <v>510</v>
      </c>
      <c r="C187" s="53" t="s">
        <v>503</v>
      </c>
      <c r="D187" s="53" t="s">
        <v>505</v>
      </c>
      <c r="E187" s="53" t="s">
        <v>496</v>
      </c>
      <c r="F187" s="53">
        <v>0.81</v>
      </c>
    </row>
    <row r="188" spans="1:6">
      <c r="A188" s="52">
        <v>42370</v>
      </c>
      <c r="B188" s="53" t="s">
        <v>510</v>
      </c>
      <c r="C188" s="53" t="s">
        <v>506</v>
      </c>
      <c r="D188" s="53" t="s">
        <v>504</v>
      </c>
      <c r="E188" s="53" t="s">
        <v>496</v>
      </c>
      <c r="F188" s="53">
        <v>0.81</v>
      </c>
    </row>
    <row r="189" spans="1:6">
      <c r="A189" s="52">
        <v>42370</v>
      </c>
      <c r="B189" s="53" t="s">
        <v>510</v>
      </c>
      <c r="C189" s="53" t="s">
        <v>506</v>
      </c>
      <c r="D189" s="53" t="s">
        <v>505</v>
      </c>
      <c r="E189" s="53" t="s">
        <v>496</v>
      </c>
      <c r="F189" s="53">
        <v>0.81</v>
      </c>
    </row>
    <row r="190" spans="1:6">
      <c r="A190" s="52">
        <v>42370</v>
      </c>
      <c r="B190" s="53" t="s">
        <v>511</v>
      </c>
      <c r="C190" s="53" t="s">
        <v>503</v>
      </c>
      <c r="D190" s="53" t="s">
        <v>504</v>
      </c>
      <c r="E190" s="53" t="s">
        <v>496</v>
      </c>
      <c r="F190" s="53">
        <v>1.1599999999999999</v>
      </c>
    </row>
    <row r="191" spans="1:6">
      <c r="A191" s="52">
        <v>42370</v>
      </c>
      <c r="B191" s="53" t="s">
        <v>511</v>
      </c>
      <c r="C191" s="53" t="s">
        <v>503</v>
      </c>
      <c r="D191" s="53" t="s">
        <v>505</v>
      </c>
      <c r="E191" s="53" t="s">
        <v>496</v>
      </c>
      <c r="F191" s="53">
        <v>1.1599999999999999</v>
      </c>
    </row>
    <row r="192" spans="1:6">
      <c r="A192" s="52">
        <v>42370</v>
      </c>
      <c r="B192" s="53" t="s">
        <v>511</v>
      </c>
      <c r="C192" s="53" t="s">
        <v>506</v>
      </c>
      <c r="D192" s="53" t="s">
        <v>504</v>
      </c>
      <c r="E192" s="53" t="s">
        <v>496</v>
      </c>
      <c r="F192" s="53">
        <v>1.1599999999999999</v>
      </c>
    </row>
    <row r="193" spans="1:6">
      <c r="A193" s="52">
        <v>42370</v>
      </c>
      <c r="B193" s="53" t="s">
        <v>511</v>
      </c>
      <c r="C193" s="53" t="s">
        <v>506</v>
      </c>
      <c r="D193" s="53" t="s">
        <v>505</v>
      </c>
      <c r="E193" s="53" t="s">
        <v>496</v>
      </c>
      <c r="F193" s="53">
        <v>1.1599999999999999</v>
      </c>
    </row>
    <row r="194" spans="1:6">
      <c r="A194" s="52">
        <v>41548</v>
      </c>
      <c r="B194" s="53" t="s">
        <v>502</v>
      </c>
      <c r="C194" s="53" t="s">
        <v>503</v>
      </c>
      <c r="D194" s="53" t="s">
        <v>504</v>
      </c>
      <c r="E194" s="53" t="s">
        <v>494</v>
      </c>
      <c r="F194" s="53">
        <v>0.27</v>
      </c>
    </row>
    <row r="195" spans="1:6">
      <c r="A195" s="52">
        <v>41548</v>
      </c>
      <c r="B195" s="53" t="s">
        <v>502</v>
      </c>
      <c r="C195" s="53" t="s">
        <v>503</v>
      </c>
      <c r="D195" s="53" t="s">
        <v>505</v>
      </c>
      <c r="E195" s="53" t="s">
        <v>494</v>
      </c>
      <c r="F195" s="53">
        <v>0.27</v>
      </c>
    </row>
    <row r="196" spans="1:6">
      <c r="A196" s="52">
        <v>41548</v>
      </c>
      <c r="B196" s="53" t="s">
        <v>502</v>
      </c>
      <c r="C196" s="53" t="s">
        <v>506</v>
      </c>
      <c r="D196" s="53" t="s">
        <v>504</v>
      </c>
      <c r="E196" s="53" t="s">
        <v>494</v>
      </c>
      <c r="F196" s="53">
        <v>0.37</v>
      </c>
    </row>
    <row r="197" spans="1:6">
      <c r="A197" s="52">
        <v>41548</v>
      </c>
      <c r="B197" s="53" t="s">
        <v>502</v>
      </c>
      <c r="C197" s="53" t="s">
        <v>506</v>
      </c>
      <c r="D197" s="53" t="s">
        <v>505</v>
      </c>
      <c r="E197" s="53" t="s">
        <v>494</v>
      </c>
      <c r="F197" s="53">
        <v>0.37</v>
      </c>
    </row>
    <row r="198" spans="1:6">
      <c r="A198" s="52">
        <v>41548</v>
      </c>
      <c r="B198" s="53" t="s">
        <v>507</v>
      </c>
      <c r="C198" s="53" t="s">
        <v>503</v>
      </c>
      <c r="D198" s="53" t="s">
        <v>504</v>
      </c>
      <c r="E198" s="53" t="s">
        <v>494</v>
      </c>
      <c r="F198" s="53">
        <v>0.18</v>
      </c>
    </row>
    <row r="199" spans="1:6">
      <c r="A199" s="52">
        <v>41548</v>
      </c>
      <c r="B199" s="53" t="s">
        <v>507</v>
      </c>
      <c r="C199" s="53" t="s">
        <v>506</v>
      </c>
      <c r="D199" s="53" t="s">
        <v>504</v>
      </c>
      <c r="E199" s="53" t="s">
        <v>494</v>
      </c>
      <c r="F199" s="53">
        <v>0.26</v>
      </c>
    </row>
    <row r="200" spans="1:6">
      <c r="A200" s="52">
        <v>41548</v>
      </c>
      <c r="B200" s="53" t="s">
        <v>507</v>
      </c>
      <c r="C200" s="53" t="s">
        <v>503</v>
      </c>
      <c r="D200" s="53" t="s">
        <v>505</v>
      </c>
      <c r="E200" s="53" t="s">
        <v>494</v>
      </c>
      <c r="F200" s="53">
        <v>0.18</v>
      </c>
    </row>
    <row r="201" spans="1:6">
      <c r="A201" s="52">
        <v>41548</v>
      </c>
      <c r="B201" s="53" t="s">
        <v>507</v>
      </c>
      <c r="C201" s="53" t="s">
        <v>506</v>
      </c>
      <c r="D201" s="53" t="s">
        <v>505</v>
      </c>
      <c r="E201" s="53" t="s">
        <v>494</v>
      </c>
      <c r="F201" s="53">
        <v>0.26</v>
      </c>
    </row>
    <row r="202" spans="1:6">
      <c r="A202" s="52">
        <v>41548</v>
      </c>
      <c r="B202" s="53" t="s">
        <v>508</v>
      </c>
      <c r="C202" s="53" t="s">
        <v>503</v>
      </c>
      <c r="D202" s="53" t="s">
        <v>504</v>
      </c>
      <c r="E202" s="53" t="s">
        <v>494</v>
      </c>
      <c r="F202" s="53">
        <v>0.23</v>
      </c>
    </row>
    <row r="203" spans="1:6">
      <c r="A203" s="52">
        <v>41548</v>
      </c>
      <c r="B203" s="53" t="s">
        <v>509</v>
      </c>
      <c r="C203" s="53" t="s">
        <v>503</v>
      </c>
      <c r="D203" s="53" t="s">
        <v>504</v>
      </c>
      <c r="E203" s="53" t="s">
        <v>494</v>
      </c>
      <c r="F203" s="53">
        <v>0.28999999999999998</v>
      </c>
    </row>
    <row r="204" spans="1:6">
      <c r="A204" s="52">
        <v>41548</v>
      </c>
      <c r="B204" s="53" t="s">
        <v>508</v>
      </c>
      <c r="C204" s="53" t="s">
        <v>506</v>
      </c>
      <c r="D204" s="53" t="s">
        <v>504</v>
      </c>
      <c r="E204" s="53" t="s">
        <v>494</v>
      </c>
      <c r="F204" s="53">
        <v>0.35</v>
      </c>
    </row>
    <row r="205" spans="1:6">
      <c r="A205" s="52">
        <v>41548</v>
      </c>
      <c r="B205" s="53" t="s">
        <v>509</v>
      </c>
      <c r="C205" s="53" t="s">
        <v>506</v>
      </c>
      <c r="D205" s="53" t="s">
        <v>504</v>
      </c>
      <c r="E205" s="53" t="s">
        <v>494</v>
      </c>
      <c r="F205" s="53">
        <v>0.41</v>
      </c>
    </row>
    <row r="206" spans="1:6">
      <c r="A206" s="52">
        <v>41548</v>
      </c>
      <c r="B206" s="53" t="s">
        <v>508</v>
      </c>
      <c r="C206" s="53" t="s">
        <v>503</v>
      </c>
      <c r="D206" s="53" t="s">
        <v>505</v>
      </c>
      <c r="E206" s="53" t="s">
        <v>494</v>
      </c>
      <c r="F206" s="53">
        <v>0.23</v>
      </c>
    </row>
    <row r="207" spans="1:6">
      <c r="A207" s="52">
        <v>41548</v>
      </c>
      <c r="B207" s="53" t="s">
        <v>509</v>
      </c>
      <c r="C207" s="53" t="s">
        <v>503</v>
      </c>
      <c r="D207" s="53" t="s">
        <v>505</v>
      </c>
      <c r="E207" s="53" t="s">
        <v>494</v>
      </c>
      <c r="F207" s="53">
        <v>0.28999999999999998</v>
      </c>
    </row>
    <row r="208" spans="1:6">
      <c r="A208" s="52">
        <v>41548</v>
      </c>
      <c r="B208" s="53" t="s">
        <v>508</v>
      </c>
      <c r="C208" s="53" t="s">
        <v>506</v>
      </c>
      <c r="D208" s="53" t="s">
        <v>505</v>
      </c>
      <c r="E208" s="53" t="s">
        <v>494</v>
      </c>
      <c r="F208" s="53">
        <v>0.35</v>
      </c>
    </row>
    <row r="209" spans="1:6">
      <c r="A209" s="52">
        <v>41548</v>
      </c>
      <c r="B209" s="53" t="s">
        <v>509</v>
      </c>
      <c r="C209" s="53" t="s">
        <v>506</v>
      </c>
      <c r="D209" s="53" t="s">
        <v>505</v>
      </c>
      <c r="E209" s="53" t="s">
        <v>494</v>
      </c>
      <c r="F209" s="53">
        <v>0.41</v>
      </c>
    </row>
    <row r="210" spans="1:6">
      <c r="A210" s="52">
        <v>41548</v>
      </c>
      <c r="B210" s="53" t="s">
        <v>510</v>
      </c>
      <c r="C210" s="53" t="s">
        <v>503</v>
      </c>
      <c r="D210" s="53" t="s">
        <v>504</v>
      </c>
      <c r="E210" s="53" t="s">
        <v>494</v>
      </c>
      <c r="F210" s="53">
        <v>0.81</v>
      </c>
    </row>
    <row r="211" spans="1:6">
      <c r="A211" s="52">
        <v>41548</v>
      </c>
      <c r="B211" s="53" t="s">
        <v>510</v>
      </c>
      <c r="C211" s="53" t="s">
        <v>503</v>
      </c>
      <c r="D211" s="53" t="s">
        <v>505</v>
      </c>
      <c r="E211" s="53" t="s">
        <v>494</v>
      </c>
      <c r="F211" s="53">
        <v>0.81</v>
      </c>
    </row>
    <row r="212" spans="1:6">
      <c r="A212" s="52">
        <v>41548</v>
      </c>
      <c r="B212" s="53" t="s">
        <v>510</v>
      </c>
      <c r="C212" s="53" t="s">
        <v>506</v>
      </c>
      <c r="D212" s="53" t="s">
        <v>504</v>
      </c>
      <c r="E212" s="53" t="s">
        <v>494</v>
      </c>
      <c r="F212" s="53">
        <v>0.81</v>
      </c>
    </row>
    <row r="213" spans="1:6">
      <c r="A213" s="52">
        <v>41548</v>
      </c>
      <c r="B213" s="53" t="s">
        <v>510</v>
      </c>
      <c r="C213" s="53" t="s">
        <v>506</v>
      </c>
      <c r="D213" s="53" t="s">
        <v>505</v>
      </c>
      <c r="E213" s="53" t="s">
        <v>494</v>
      </c>
      <c r="F213" s="53">
        <v>0.81</v>
      </c>
    </row>
    <row r="214" spans="1:6">
      <c r="A214" s="52">
        <v>41548</v>
      </c>
      <c r="B214" s="53" t="s">
        <v>511</v>
      </c>
      <c r="C214" s="53" t="s">
        <v>503</v>
      </c>
      <c r="D214" s="53" t="s">
        <v>504</v>
      </c>
      <c r="E214" s="53" t="s">
        <v>494</v>
      </c>
      <c r="F214" s="53">
        <v>1.1599999999999999</v>
      </c>
    </row>
    <row r="215" spans="1:6">
      <c r="A215" s="52">
        <v>41548</v>
      </c>
      <c r="B215" s="53" t="s">
        <v>511</v>
      </c>
      <c r="C215" s="53" t="s">
        <v>503</v>
      </c>
      <c r="D215" s="53" t="s">
        <v>505</v>
      </c>
      <c r="E215" s="53" t="s">
        <v>494</v>
      </c>
      <c r="F215" s="53">
        <v>1.1599999999999999</v>
      </c>
    </row>
    <row r="216" spans="1:6">
      <c r="A216" s="52">
        <v>41548</v>
      </c>
      <c r="B216" s="53" t="s">
        <v>511</v>
      </c>
      <c r="C216" s="53" t="s">
        <v>506</v>
      </c>
      <c r="D216" s="53" t="s">
        <v>504</v>
      </c>
      <c r="E216" s="53" t="s">
        <v>494</v>
      </c>
      <c r="F216" s="53">
        <v>1.1599999999999999</v>
      </c>
    </row>
    <row r="217" spans="1:6">
      <c r="A217" s="52">
        <v>41548</v>
      </c>
      <c r="B217" s="53" t="s">
        <v>511</v>
      </c>
      <c r="C217" s="53" t="s">
        <v>506</v>
      </c>
      <c r="D217" s="53" t="s">
        <v>505</v>
      </c>
      <c r="E217" s="53" t="s">
        <v>494</v>
      </c>
      <c r="F217" s="53">
        <v>1.1599999999999999</v>
      </c>
    </row>
    <row r="218" spans="1:6">
      <c r="A218" s="52">
        <v>41548</v>
      </c>
      <c r="B218" s="53" t="s">
        <v>502</v>
      </c>
      <c r="C218" s="53" t="s">
        <v>503</v>
      </c>
      <c r="D218" s="53" t="s">
        <v>504</v>
      </c>
      <c r="E218" s="53" t="s">
        <v>493</v>
      </c>
      <c r="F218" s="53">
        <v>0.27</v>
      </c>
    </row>
    <row r="219" spans="1:6">
      <c r="A219" s="52">
        <v>41548</v>
      </c>
      <c r="B219" s="53" t="s">
        <v>502</v>
      </c>
      <c r="C219" s="53" t="s">
        <v>503</v>
      </c>
      <c r="D219" s="53" t="s">
        <v>505</v>
      </c>
      <c r="E219" s="53" t="s">
        <v>493</v>
      </c>
      <c r="F219" s="53">
        <v>0.27</v>
      </c>
    </row>
    <row r="220" spans="1:6">
      <c r="A220" s="52">
        <v>41548</v>
      </c>
      <c r="B220" s="53" t="s">
        <v>502</v>
      </c>
      <c r="C220" s="53" t="s">
        <v>506</v>
      </c>
      <c r="D220" s="53" t="s">
        <v>504</v>
      </c>
      <c r="E220" s="53" t="s">
        <v>493</v>
      </c>
      <c r="F220" s="53">
        <v>0.37</v>
      </c>
    </row>
    <row r="221" spans="1:6">
      <c r="A221" s="52">
        <v>41548</v>
      </c>
      <c r="B221" s="53" t="s">
        <v>502</v>
      </c>
      <c r="C221" s="53" t="s">
        <v>506</v>
      </c>
      <c r="D221" s="53" t="s">
        <v>505</v>
      </c>
      <c r="E221" s="53" t="s">
        <v>493</v>
      </c>
      <c r="F221" s="53">
        <v>0.37</v>
      </c>
    </row>
    <row r="222" spans="1:6">
      <c r="A222" s="52">
        <v>41548</v>
      </c>
      <c r="B222" s="53" t="s">
        <v>507</v>
      </c>
      <c r="C222" s="53" t="s">
        <v>503</v>
      </c>
      <c r="D222" s="53" t="s">
        <v>504</v>
      </c>
      <c r="E222" s="53" t="s">
        <v>493</v>
      </c>
      <c r="F222" s="53">
        <v>0.18</v>
      </c>
    </row>
    <row r="223" spans="1:6">
      <c r="A223" s="52">
        <v>41548</v>
      </c>
      <c r="B223" s="53" t="s">
        <v>507</v>
      </c>
      <c r="C223" s="53" t="s">
        <v>506</v>
      </c>
      <c r="D223" s="53" t="s">
        <v>504</v>
      </c>
      <c r="E223" s="53" t="s">
        <v>493</v>
      </c>
      <c r="F223" s="53">
        <v>0.26</v>
      </c>
    </row>
    <row r="224" spans="1:6">
      <c r="A224" s="52">
        <v>41548</v>
      </c>
      <c r="B224" s="53" t="s">
        <v>507</v>
      </c>
      <c r="C224" s="53" t="s">
        <v>503</v>
      </c>
      <c r="D224" s="53" t="s">
        <v>505</v>
      </c>
      <c r="E224" s="53" t="s">
        <v>493</v>
      </c>
      <c r="F224" s="53">
        <v>0.18</v>
      </c>
    </row>
    <row r="225" spans="1:6">
      <c r="A225" s="52">
        <v>41548</v>
      </c>
      <c r="B225" s="53" t="s">
        <v>507</v>
      </c>
      <c r="C225" s="53" t="s">
        <v>506</v>
      </c>
      <c r="D225" s="53" t="s">
        <v>505</v>
      </c>
      <c r="E225" s="53" t="s">
        <v>493</v>
      </c>
      <c r="F225" s="53">
        <v>0.26</v>
      </c>
    </row>
    <row r="226" spans="1:6">
      <c r="A226" s="52">
        <v>41548</v>
      </c>
      <c r="B226" s="53" t="s">
        <v>508</v>
      </c>
      <c r="C226" s="53" t="s">
        <v>503</v>
      </c>
      <c r="D226" s="53" t="s">
        <v>504</v>
      </c>
      <c r="E226" s="53" t="s">
        <v>493</v>
      </c>
      <c r="F226" s="53">
        <v>0.23</v>
      </c>
    </row>
    <row r="227" spans="1:6">
      <c r="A227" s="52">
        <v>41548</v>
      </c>
      <c r="B227" s="53" t="s">
        <v>509</v>
      </c>
      <c r="C227" s="53" t="s">
        <v>503</v>
      </c>
      <c r="D227" s="53" t="s">
        <v>504</v>
      </c>
      <c r="E227" s="53" t="s">
        <v>493</v>
      </c>
      <c r="F227" s="53">
        <v>0.28999999999999998</v>
      </c>
    </row>
    <row r="228" spans="1:6">
      <c r="A228" s="52">
        <v>41548</v>
      </c>
      <c r="B228" s="53" t="s">
        <v>508</v>
      </c>
      <c r="C228" s="53" t="s">
        <v>506</v>
      </c>
      <c r="D228" s="53" t="s">
        <v>504</v>
      </c>
      <c r="E228" s="53" t="s">
        <v>493</v>
      </c>
      <c r="F228" s="53">
        <v>0.35</v>
      </c>
    </row>
    <row r="229" spans="1:6">
      <c r="A229" s="52">
        <v>41548</v>
      </c>
      <c r="B229" s="53" t="s">
        <v>509</v>
      </c>
      <c r="C229" s="53" t="s">
        <v>506</v>
      </c>
      <c r="D229" s="53" t="s">
        <v>504</v>
      </c>
      <c r="E229" s="53" t="s">
        <v>493</v>
      </c>
      <c r="F229" s="53">
        <v>0.41</v>
      </c>
    </row>
    <row r="230" spans="1:6">
      <c r="A230" s="52">
        <v>41548</v>
      </c>
      <c r="B230" s="53" t="s">
        <v>508</v>
      </c>
      <c r="C230" s="53" t="s">
        <v>503</v>
      </c>
      <c r="D230" s="53" t="s">
        <v>505</v>
      </c>
      <c r="E230" s="53" t="s">
        <v>493</v>
      </c>
      <c r="F230" s="53">
        <v>0.23</v>
      </c>
    </row>
    <row r="231" spans="1:6">
      <c r="A231" s="52">
        <v>41548</v>
      </c>
      <c r="B231" s="53" t="s">
        <v>509</v>
      </c>
      <c r="C231" s="53" t="s">
        <v>503</v>
      </c>
      <c r="D231" s="53" t="s">
        <v>505</v>
      </c>
      <c r="E231" s="53" t="s">
        <v>493</v>
      </c>
      <c r="F231" s="53">
        <v>0.28999999999999998</v>
      </c>
    </row>
    <row r="232" spans="1:6">
      <c r="A232" s="52">
        <v>41548</v>
      </c>
      <c r="B232" s="53" t="s">
        <v>508</v>
      </c>
      <c r="C232" s="53" t="s">
        <v>506</v>
      </c>
      <c r="D232" s="53" t="s">
        <v>505</v>
      </c>
      <c r="E232" s="53" t="s">
        <v>493</v>
      </c>
      <c r="F232" s="53">
        <v>0.35</v>
      </c>
    </row>
    <row r="233" spans="1:6">
      <c r="A233" s="52">
        <v>41548</v>
      </c>
      <c r="B233" s="53" t="s">
        <v>509</v>
      </c>
      <c r="C233" s="53" t="s">
        <v>506</v>
      </c>
      <c r="D233" s="53" t="s">
        <v>505</v>
      </c>
      <c r="E233" s="53" t="s">
        <v>493</v>
      </c>
      <c r="F233" s="53">
        <v>0.41</v>
      </c>
    </row>
    <row r="234" spans="1:6">
      <c r="A234" s="52">
        <v>41548</v>
      </c>
      <c r="B234" s="53" t="s">
        <v>510</v>
      </c>
      <c r="C234" s="53" t="s">
        <v>503</v>
      </c>
      <c r="D234" s="53" t="s">
        <v>504</v>
      </c>
      <c r="E234" s="53" t="s">
        <v>493</v>
      </c>
      <c r="F234" s="53">
        <v>0.81</v>
      </c>
    </row>
    <row r="235" spans="1:6">
      <c r="A235" s="52">
        <v>41548</v>
      </c>
      <c r="B235" s="53" t="s">
        <v>510</v>
      </c>
      <c r="C235" s="53" t="s">
        <v>503</v>
      </c>
      <c r="D235" s="53" t="s">
        <v>505</v>
      </c>
      <c r="E235" s="53" t="s">
        <v>493</v>
      </c>
      <c r="F235" s="53">
        <v>0.81</v>
      </c>
    </row>
    <row r="236" spans="1:6">
      <c r="A236" s="52">
        <v>41548</v>
      </c>
      <c r="B236" s="53" t="s">
        <v>510</v>
      </c>
      <c r="C236" s="53" t="s">
        <v>506</v>
      </c>
      <c r="D236" s="53" t="s">
        <v>504</v>
      </c>
      <c r="E236" s="53" t="s">
        <v>493</v>
      </c>
      <c r="F236" s="53">
        <v>0.81</v>
      </c>
    </row>
    <row r="237" spans="1:6">
      <c r="A237" s="52">
        <v>41548</v>
      </c>
      <c r="B237" s="53" t="s">
        <v>510</v>
      </c>
      <c r="C237" s="53" t="s">
        <v>506</v>
      </c>
      <c r="D237" s="53" t="s">
        <v>505</v>
      </c>
      <c r="E237" s="53" t="s">
        <v>493</v>
      </c>
      <c r="F237" s="53">
        <v>0.81</v>
      </c>
    </row>
    <row r="238" spans="1:6">
      <c r="A238" s="52">
        <v>41548</v>
      </c>
      <c r="B238" s="53" t="s">
        <v>511</v>
      </c>
      <c r="C238" s="53" t="s">
        <v>503</v>
      </c>
      <c r="D238" s="53" t="s">
        <v>504</v>
      </c>
      <c r="E238" s="53" t="s">
        <v>493</v>
      </c>
      <c r="F238" s="53">
        <v>1.1599999999999999</v>
      </c>
    </row>
    <row r="239" spans="1:6">
      <c r="A239" s="52">
        <v>41548</v>
      </c>
      <c r="B239" s="53" t="s">
        <v>511</v>
      </c>
      <c r="C239" s="53" t="s">
        <v>503</v>
      </c>
      <c r="D239" s="53" t="s">
        <v>505</v>
      </c>
      <c r="E239" s="53" t="s">
        <v>493</v>
      </c>
      <c r="F239" s="53">
        <v>1.1599999999999999</v>
      </c>
    </row>
    <row r="240" spans="1:6">
      <c r="A240" s="52">
        <v>41548</v>
      </c>
      <c r="B240" s="53" t="s">
        <v>511</v>
      </c>
      <c r="C240" s="53" t="s">
        <v>506</v>
      </c>
      <c r="D240" s="53" t="s">
        <v>504</v>
      </c>
      <c r="E240" s="53" t="s">
        <v>493</v>
      </c>
      <c r="F240" s="53">
        <v>1.1599999999999999</v>
      </c>
    </row>
    <row r="241" spans="1:6">
      <c r="A241" s="52">
        <v>41548</v>
      </c>
      <c r="B241" s="53" t="s">
        <v>511</v>
      </c>
      <c r="C241" s="53" t="s">
        <v>506</v>
      </c>
      <c r="D241" s="53" t="s">
        <v>505</v>
      </c>
      <c r="E241" s="53" t="s">
        <v>493</v>
      </c>
      <c r="F241" s="53">
        <v>1.1599999999999999</v>
      </c>
    </row>
    <row r="242" spans="1:6">
      <c r="A242" s="52">
        <v>41548</v>
      </c>
      <c r="B242" s="53" t="s">
        <v>502</v>
      </c>
      <c r="C242" s="53" t="s">
        <v>503</v>
      </c>
      <c r="D242" s="53" t="s">
        <v>504</v>
      </c>
      <c r="E242" s="53" t="s">
        <v>495</v>
      </c>
      <c r="F242" s="53">
        <v>0.34</v>
      </c>
    </row>
    <row r="243" spans="1:6">
      <c r="A243" s="52">
        <v>41548</v>
      </c>
      <c r="B243" s="53" t="s">
        <v>502</v>
      </c>
      <c r="C243" s="53" t="s">
        <v>503</v>
      </c>
      <c r="D243" s="53" t="s">
        <v>505</v>
      </c>
      <c r="E243" s="53" t="s">
        <v>495</v>
      </c>
      <c r="F243" s="53">
        <v>0.34</v>
      </c>
    </row>
    <row r="244" spans="1:6">
      <c r="A244" s="52">
        <v>41548</v>
      </c>
      <c r="B244" s="53" t="s">
        <v>502</v>
      </c>
      <c r="C244" s="53" t="s">
        <v>506</v>
      </c>
      <c r="D244" s="53" t="s">
        <v>504</v>
      </c>
      <c r="E244" s="53" t="s">
        <v>495</v>
      </c>
      <c r="F244" s="53">
        <v>0.48</v>
      </c>
    </row>
    <row r="245" spans="1:6">
      <c r="A245" s="52">
        <v>41548</v>
      </c>
      <c r="B245" s="53" t="s">
        <v>502</v>
      </c>
      <c r="C245" s="53" t="s">
        <v>506</v>
      </c>
      <c r="D245" s="53" t="s">
        <v>505</v>
      </c>
      <c r="E245" s="53" t="s">
        <v>495</v>
      </c>
      <c r="F245" s="53">
        <v>0.48</v>
      </c>
    </row>
    <row r="246" spans="1:6">
      <c r="A246" s="52">
        <v>41548</v>
      </c>
      <c r="B246" s="53" t="s">
        <v>507</v>
      </c>
      <c r="C246" s="53" t="s">
        <v>503</v>
      </c>
      <c r="D246" s="53" t="s">
        <v>504</v>
      </c>
      <c r="E246" s="53" t="s">
        <v>495</v>
      </c>
      <c r="F246" s="53">
        <v>0.22</v>
      </c>
    </row>
    <row r="247" spans="1:6">
      <c r="A247" s="52">
        <v>41548</v>
      </c>
      <c r="B247" s="53" t="s">
        <v>507</v>
      </c>
      <c r="C247" s="53" t="s">
        <v>506</v>
      </c>
      <c r="D247" s="53" t="s">
        <v>504</v>
      </c>
      <c r="E247" s="53" t="s">
        <v>495</v>
      </c>
      <c r="F247" s="53">
        <v>0.31</v>
      </c>
    </row>
    <row r="248" spans="1:6">
      <c r="A248" s="52">
        <v>41548</v>
      </c>
      <c r="B248" s="53" t="s">
        <v>507</v>
      </c>
      <c r="C248" s="53" t="s">
        <v>503</v>
      </c>
      <c r="D248" s="53" t="s">
        <v>505</v>
      </c>
      <c r="E248" s="53" t="s">
        <v>495</v>
      </c>
      <c r="F248" s="53">
        <v>0.22</v>
      </c>
    </row>
    <row r="249" spans="1:6">
      <c r="A249" s="52">
        <v>41548</v>
      </c>
      <c r="B249" s="53" t="s">
        <v>507</v>
      </c>
      <c r="C249" s="53" t="s">
        <v>506</v>
      </c>
      <c r="D249" s="53" t="s">
        <v>505</v>
      </c>
      <c r="E249" s="53" t="s">
        <v>495</v>
      </c>
      <c r="F249" s="53">
        <v>0.31</v>
      </c>
    </row>
    <row r="250" spans="1:6">
      <c r="A250" s="52">
        <v>41548</v>
      </c>
      <c r="B250" s="53" t="s">
        <v>508</v>
      </c>
      <c r="C250" s="53" t="s">
        <v>503</v>
      </c>
      <c r="D250" s="53" t="s">
        <v>504</v>
      </c>
      <c r="E250" s="53" t="s">
        <v>495</v>
      </c>
      <c r="F250" s="53">
        <v>0.28000000000000003</v>
      </c>
    </row>
    <row r="251" spans="1:6">
      <c r="A251" s="52">
        <v>41548</v>
      </c>
      <c r="B251" s="53" t="s">
        <v>509</v>
      </c>
      <c r="C251" s="53" t="s">
        <v>503</v>
      </c>
      <c r="D251" s="53" t="s">
        <v>504</v>
      </c>
      <c r="E251" s="53" t="s">
        <v>495</v>
      </c>
      <c r="F251" s="53">
        <v>0.33</v>
      </c>
    </row>
    <row r="252" spans="1:6">
      <c r="A252" s="52">
        <v>41548</v>
      </c>
      <c r="B252" s="53" t="s">
        <v>508</v>
      </c>
      <c r="C252" s="53" t="s">
        <v>506</v>
      </c>
      <c r="D252" s="53" t="s">
        <v>504</v>
      </c>
      <c r="E252" s="53" t="s">
        <v>495</v>
      </c>
      <c r="F252" s="53">
        <v>0.4</v>
      </c>
    </row>
    <row r="253" spans="1:6">
      <c r="A253" s="52">
        <v>41548</v>
      </c>
      <c r="B253" s="53" t="s">
        <v>509</v>
      </c>
      <c r="C253" s="53" t="s">
        <v>506</v>
      </c>
      <c r="D253" s="53" t="s">
        <v>504</v>
      </c>
      <c r="E253" s="53" t="s">
        <v>495</v>
      </c>
      <c r="F253" s="53">
        <v>0.47</v>
      </c>
    </row>
    <row r="254" spans="1:6">
      <c r="A254" s="52">
        <v>41548</v>
      </c>
      <c r="B254" s="53" t="s">
        <v>508</v>
      </c>
      <c r="C254" s="53" t="s">
        <v>503</v>
      </c>
      <c r="D254" s="53" t="s">
        <v>505</v>
      </c>
      <c r="E254" s="53" t="s">
        <v>495</v>
      </c>
      <c r="F254" s="53">
        <v>0.28000000000000003</v>
      </c>
    </row>
    <row r="255" spans="1:6">
      <c r="A255" s="52">
        <v>41548</v>
      </c>
      <c r="B255" s="53" t="s">
        <v>509</v>
      </c>
      <c r="C255" s="53" t="s">
        <v>503</v>
      </c>
      <c r="D255" s="53" t="s">
        <v>505</v>
      </c>
      <c r="E255" s="53" t="s">
        <v>495</v>
      </c>
      <c r="F255" s="53">
        <v>0.33</v>
      </c>
    </row>
    <row r="256" spans="1:6">
      <c r="A256" s="52">
        <v>41548</v>
      </c>
      <c r="B256" s="53" t="s">
        <v>508</v>
      </c>
      <c r="C256" s="53" t="s">
        <v>506</v>
      </c>
      <c r="D256" s="53" t="s">
        <v>505</v>
      </c>
      <c r="E256" s="53" t="s">
        <v>495</v>
      </c>
      <c r="F256" s="53">
        <v>0.4</v>
      </c>
    </row>
    <row r="257" spans="1:6">
      <c r="A257" s="52">
        <v>41548</v>
      </c>
      <c r="B257" s="53" t="s">
        <v>509</v>
      </c>
      <c r="C257" s="53" t="s">
        <v>506</v>
      </c>
      <c r="D257" s="53" t="s">
        <v>505</v>
      </c>
      <c r="E257" s="53" t="s">
        <v>495</v>
      </c>
      <c r="F257" s="53">
        <v>0.47</v>
      </c>
    </row>
    <row r="258" spans="1:6">
      <c r="A258" s="52">
        <v>41548</v>
      </c>
      <c r="B258" s="53" t="s">
        <v>510</v>
      </c>
      <c r="C258" s="53" t="s">
        <v>503</v>
      </c>
      <c r="D258" s="53" t="s">
        <v>504</v>
      </c>
      <c r="E258" s="53" t="s">
        <v>495</v>
      </c>
      <c r="F258" s="53">
        <v>0.81</v>
      </c>
    </row>
    <row r="259" spans="1:6">
      <c r="A259" s="52">
        <v>41548</v>
      </c>
      <c r="B259" s="53" t="s">
        <v>510</v>
      </c>
      <c r="C259" s="53" t="s">
        <v>503</v>
      </c>
      <c r="D259" s="53" t="s">
        <v>505</v>
      </c>
      <c r="E259" s="53" t="s">
        <v>495</v>
      </c>
      <c r="F259" s="53">
        <v>0.81</v>
      </c>
    </row>
    <row r="260" spans="1:6">
      <c r="A260" s="52">
        <v>41548</v>
      </c>
      <c r="B260" s="53" t="s">
        <v>510</v>
      </c>
      <c r="C260" s="53" t="s">
        <v>506</v>
      </c>
      <c r="D260" s="53" t="s">
        <v>504</v>
      </c>
      <c r="E260" s="53" t="s">
        <v>495</v>
      </c>
      <c r="F260" s="53">
        <v>0.81</v>
      </c>
    </row>
    <row r="261" spans="1:6">
      <c r="A261" s="52">
        <v>41548</v>
      </c>
      <c r="B261" s="53" t="s">
        <v>510</v>
      </c>
      <c r="C261" s="53" t="s">
        <v>506</v>
      </c>
      <c r="D261" s="53" t="s">
        <v>505</v>
      </c>
      <c r="E261" s="53" t="s">
        <v>495</v>
      </c>
      <c r="F261" s="53">
        <v>0.81</v>
      </c>
    </row>
    <row r="262" spans="1:6">
      <c r="A262" s="52">
        <v>41548</v>
      </c>
      <c r="B262" s="53" t="s">
        <v>511</v>
      </c>
      <c r="C262" s="53" t="s">
        <v>503</v>
      </c>
      <c r="D262" s="53" t="s">
        <v>504</v>
      </c>
      <c r="E262" s="53" t="s">
        <v>495</v>
      </c>
      <c r="F262" s="53">
        <v>1.1599999999999999</v>
      </c>
    </row>
    <row r="263" spans="1:6">
      <c r="A263" s="52">
        <v>41548</v>
      </c>
      <c r="B263" s="53" t="s">
        <v>511</v>
      </c>
      <c r="C263" s="53" t="s">
        <v>503</v>
      </c>
      <c r="D263" s="53" t="s">
        <v>505</v>
      </c>
      <c r="E263" s="53" t="s">
        <v>495</v>
      </c>
      <c r="F263" s="53">
        <v>1.1599999999999999</v>
      </c>
    </row>
    <row r="264" spans="1:6">
      <c r="A264" s="52">
        <v>41548</v>
      </c>
      <c r="B264" s="53" t="s">
        <v>511</v>
      </c>
      <c r="C264" s="53" t="s">
        <v>506</v>
      </c>
      <c r="D264" s="53" t="s">
        <v>504</v>
      </c>
      <c r="E264" s="53" t="s">
        <v>495</v>
      </c>
      <c r="F264" s="53">
        <v>1.1599999999999999</v>
      </c>
    </row>
    <row r="265" spans="1:6">
      <c r="A265" s="52">
        <v>41548</v>
      </c>
      <c r="B265" s="53" t="s">
        <v>511</v>
      </c>
      <c r="C265" s="53" t="s">
        <v>506</v>
      </c>
      <c r="D265" s="53" t="s">
        <v>505</v>
      </c>
      <c r="E265" s="53" t="s">
        <v>495</v>
      </c>
      <c r="F265" s="53">
        <v>1.1599999999999999</v>
      </c>
    </row>
    <row r="266" spans="1:6">
      <c r="A266" s="52">
        <v>41548</v>
      </c>
      <c r="B266" s="53" t="s">
        <v>502</v>
      </c>
      <c r="C266" s="53" t="s">
        <v>503</v>
      </c>
      <c r="D266" s="53" t="s">
        <v>504</v>
      </c>
      <c r="E266" s="53" t="s">
        <v>496</v>
      </c>
      <c r="F266" s="53">
        <v>0.44</v>
      </c>
    </row>
    <row r="267" spans="1:6">
      <c r="A267" s="52">
        <v>41548</v>
      </c>
      <c r="B267" s="53" t="s">
        <v>502</v>
      </c>
      <c r="C267" s="53" t="s">
        <v>503</v>
      </c>
      <c r="D267" s="53" t="s">
        <v>505</v>
      </c>
      <c r="E267" s="53" t="s">
        <v>496</v>
      </c>
      <c r="F267" s="53">
        <v>0.44</v>
      </c>
    </row>
    <row r="268" spans="1:6">
      <c r="A268" s="52">
        <v>41548</v>
      </c>
      <c r="B268" s="53" t="s">
        <v>502</v>
      </c>
      <c r="C268" s="53" t="s">
        <v>506</v>
      </c>
      <c r="D268" s="53" t="s">
        <v>504</v>
      </c>
      <c r="E268" s="53" t="s">
        <v>496</v>
      </c>
      <c r="F268" s="53">
        <v>0.64</v>
      </c>
    </row>
    <row r="269" spans="1:6">
      <c r="A269" s="52">
        <v>41548</v>
      </c>
      <c r="B269" s="53" t="s">
        <v>502</v>
      </c>
      <c r="C269" s="53" t="s">
        <v>506</v>
      </c>
      <c r="D269" s="53" t="s">
        <v>505</v>
      </c>
      <c r="E269" s="53" t="s">
        <v>496</v>
      </c>
      <c r="F269" s="53">
        <v>0.64</v>
      </c>
    </row>
    <row r="270" spans="1:6">
      <c r="A270" s="52">
        <v>41548</v>
      </c>
      <c r="B270" s="53" t="s">
        <v>507</v>
      </c>
      <c r="C270" s="53" t="s">
        <v>503</v>
      </c>
      <c r="D270" s="53" t="s">
        <v>504</v>
      </c>
      <c r="E270" s="53" t="s">
        <v>496</v>
      </c>
      <c r="F270" s="53">
        <v>0.28000000000000003</v>
      </c>
    </row>
    <row r="271" spans="1:6">
      <c r="A271" s="52">
        <v>41548</v>
      </c>
      <c r="B271" s="53" t="s">
        <v>507</v>
      </c>
      <c r="C271" s="53" t="s">
        <v>506</v>
      </c>
      <c r="D271" s="53" t="s">
        <v>504</v>
      </c>
      <c r="E271" s="53" t="s">
        <v>496</v>
      </c>
      <c r="F271" s="53">
        <v>0.4</v>
      </c>
    </row>
    <row r="272" spans="1:6">
      <c r="A272" s="52">
        <v>41548</v>
      </c>
      <c r="B272" s="53" t="s">
        <v>507</v>
      </c>
      <c r="C272" s="53" t="s">
        <v>503</v>
      </c>
      <c r="D272" s="53" t="s">
        <v>505</v>
      </c>
      <c r="E272" s="53" t="s">
        <v>496</v>
      </c>
      <c r="F272" s="53">
        <v>0.28000000000000003</v>
      </c>
    </row>
    <row r="273" spans="1:6">
      <c r="A273" s="52">
        <v>41548</v>
      </c>
      <c r="B273" s="53" t="s">
        <v>507</v>
      </c>
      <c r="C273" s="53" t="s">
        <v>506</v>
      </c>
      <c r="D273" s="53" t="s">
        <v>505</v>
      </c>
      <c r="E273" s="53" t="s">
        <v>496</v>
      </c>
      <c r="F273" s="53">
        <v>0.4</v>
      </c>
    </row>
    <row r="274" spans="1:6">
      <c r="A274" s="52">
        <v>41548</v>
      </c>
      <c r="B274" s="53" t="s">
        <v>508</v>
      </c>
      <c r="C274" s="53" t="s">
        <v>503</v>
      </c>
      <c r="D274" s="53" t="s">
        <v>504</v>
      </c>
      <c r="E274" s="53" t="s">
        <v>496</v>
      </c>
      <c r="F274" s="53">
        <v>0.33</v>
      </c>
    </row>
    <row r="275" spans="1:6">
      <c r="A275" s="52">
        <v>41548</v>
      </c>
      <c r="B275" s="53" t="s">
        <v>509</v>
      </c>
      <c r="C275" s="53" t="s">
        <v>503</v>
      </c>
      <c r="D275" s="53" t="s">
        <v>504</v>
      </c>
      <c r="E275" s="53" t="s">
        <v>496</v>
      </c>
      <c r="F275" s="53">
        <v>0.39</v>
      </c>
    </row>
    <row r="276" spans="1:6">
      <c r="A276" s="52">
        <v>41548</v>
      </c>
      <c r="B276" s="53" t="s">
        <v>508</v>
      </c>
      <c r="C276" s="53" t="s">
        <v>506</v>
      </c>
      <c r="D276" s="53" t="s">
        <v>504</v>
      </c>
      <c r="E276" s="53" t="s">
        <v>496</v>
      </c>
      <c r="F276" s="53">
        <v>0.47</v>
      </c>
    </row>
    <row r="277" spans="1:6">
      <c r="A277" s="52">
        <v>41548</v>
      </c>
      <c r="B277" s="53" t="s">
        <v>509</v>
      </c>
      <c r="C277" s="53" t="s">
        <v>506</v>
      </c>
      <c r="D277" s="53" t="s">
        <v>504</v>
      </c>
      <c r="E277" s="53" t="s">
        <v>496</v>
      </c>
      <c r="F277" s="53">
        <v>0.55000000000000004</v>
      </c>
    </row>
    <row r="278" spans="1:6">
      <c r="A278" s="52">
        <v>41548</v>
      </c>
      <c r="B278" s="53" t="s">
        <v>508</v>
      </c>
      <c r="C278" s="53" t="s">
        <v>503</v>
      </c>
      <c r="D278" s="53" t="s">
        <v>505</v>
      </c>
      <c r="E278" s="53" t="s">
        <v>496</v>
      </c>
      <c r="F278" s="53">
        <v>0.33</v>
      </c>
    </row>
    <row r="279" spans="1:6">
      <c r="A279" s="52">
        <v>41548</v>
      </c>
      <c r="B279" s="53" t="s">
        <v>509</v>
      </c>
      <c r="C279" s="53" t="s">
        <v>503</v>
      </c>
      <c r="D279" s="53" t="s">
        <v>505</v>
      </c>
      <c r="E279" s="53" t="s">
        <v>496</v>
      </c>
      <c r="F279" s="53">
        <v>0.39</v>
      </c>
    </row>
    <row r="280" spans="1:6">
      <c r="A280" s="52">
        <v>41548</v>
      </c>
      <c r="B280" s="53" t="s">
        <v>508</v>
      </c>
      <c r="C280" s="53" t="s">
        <v>506</v>
      </c>
      <c r="D280" s="53" t="s">
        <v>505</v>
      </c>
      <c r="E280" s="53" t="s">
        <v>496</v>
      </c>
      <c r="F280" s="53">
        <v>0.47</v>
      </c>
    </row>
    <row r="281" spans="1:6">
      <c r="A281" s="52">
        <v>41548</v>
      </c>
      <c r="B281" s="53" t="s">
        <v>509</v>
      </c>
      <c r="C281" s="53" t="s">
        <v>506</v>
      </c>
      <c r="D281" s="53" t="s">
        <v>505</v>
      </c>
      <c r="E281" s="53" t="s">
        <v>496</v>
      </c>
      <c r="F281" s="53">
        <v>0.55000000000000004</v>
      </c>
    </row>
    <row r="282" spans="1:6">
      <c r="A282" s="52">
        <v>41548</v>
      </c>
      <c r="B282" s="53" t="s">
        <v>510</v>
      </c>
      <c r="C282" s="53" t="s">
        <v>503</v>
      </c>
      <c r="D282" s="53" t="s">
        <v>504</v>
      </c>
      <c r="E282" s="53" t="s">
        <v>496</v>
      </c>
      <c r="F282" s="53">
        <v>0.81</v>
      </c>
    </row>
    <row r="283" spans="1:6">
      <c r="A283" s="52">
        <v>41548</v>
      </c>
      <c r="B283" s="53" t="s">
        <v>510</v>
      </c>
      <c r="C283" s="53" t="s">
        <v>503</v>
      </c>
      <c r="D283" s="53" t="s">
        <v>505</v>
      </c>
      <c r="E283" s="53" t="s">
        <v>496</v>
      </c>
      <c r="F283" s="53">
        <v>0.81</v>
      </c>
    </row>
    <row r="284" spans="1:6">
      <c r="A284" s="52">
        <v>41548</v>
      </c>
      <c r="B284" s="53" t="s">
        <v>510</v>
      </c>
      <c r="C284" s="53" t="s">
        <v>506</v>
      </c>
      <c r="D284" s="53" t="s">
        <v>504</v>
      </c>
      <c r="E284" s="53" t="s">
        <v>496</v>
      </c>
      <c r="F284" s="53">
        <v>0.81</v>
      </c>
    </row>
    <row r="285" spans="1:6">
      <c r="A285" s="52">
        <v>41548</v>
      </c>
      <c r="B285" s="53" t="s">
        <v>510</v>
      </c>
      <c r="C285" s="53" t="s">
        <v>506</v>
      </c>
      <c r="D285" s="53" t="s">
        <v>505</v>
      </c>
      <c r="E285" s="53" t="s">
        <v>496</v>
      </c>
      <c r="F285" s="53">
        <v>0.81</v>
      </c>
    </row>
    <row r="286" spans="1:6">
      <c r="A286" s="52">
        <v>41548</v>
      </c>
      <c r="B286" s="53" t="s">
        <v>511</v>
      </c>
      <c r="C286" s="53" t="s">
        <v>503</v>
      </c>
      <c r="D286" s="53" t="s">
        <v>504</v>
      </c>
      <c r="E286" s="53" t="s">
        <v>496</v>
      </c>
      <c r="F286" s="53">
        <v>1.1599999999999999</v>
      </c>
    </row>
    <row r="287" spans="1:6">
      <c r="A287" s="52">
        <v>41548</v>
      </c>
      <c r="B287" s="53" t="s">
        <v>511</v>
      </c>
      <c r="C287" s="53" t="s">
        <v>503</v>
      </c>
      <c r="D287" s="53" t="s">
        <v>505</v>
      </c>
      <c r="E287" s="53" t="s">
        <v>496</v>
      </c>
      <c r="F287" s="53">
        <v>1.1599999999999999</v>
      </c>
    </row>
    <row r="288" spans="1:6">
      <c r="A288" s="52">
        <v>41548</v>
      </c>
      <c r="B288" s="53" t="s">
        <v>511</v>
      </c>
      <c r="C288" s="53" t="s">
        <v>506</v>
      </c>
      <c r="D288" s="53" t="s">
        <v>504</v>
      </c>
      <c r="E288" s="53" t="s">
        <v>496</v>
      </c>
      <c r="F288" s="53">
        <v>1.1599999999999999</v>
      </c>
    </row>
    <row r="289" spans="1:6">
      <c r="A289" s="52">
        <v>41548</v>
      </c>
      <c r="B289" s="53" t="s">
        <v>511</v>
      </c>
      <c r="C289" s="53" t="s">
        <v>506</v>
      </c>
      <c r="D289" s="53" t="s">
        <v>505</v>
      </c>
      <c r="E289" s="53" t="s">
        <v>496</v>
      </c>
      <c r="F289" s="53">
        <v>1.1599999999999999</v>
      </c>
    </row>
    <row r="290" spans="1:6">
      <c r="A290" s="52">
        <v>41518</v>
      </c>
      <c r="B290" s="53" t="s">
        <v>502</v>
      </c>
      <c r="C290" s="53" t="s">
        <v>503</v>
      </c>
      <c r="D290" s="53" t="s">
        <v>504</v>
      </c>
      <c r="E290" s="53" t="s">
        <v>494</v>
      </c>
      <c r="F290" s="53">
        <v>0.27</v>
      </c>
    </row>
    <row r="291" spans="1:6">
      <c r="A291" s="52">
        <v>41518</v>
      </c>
      <c r="B291" s="53" t="s">
        <v>502</v>
      </c>
      <c r="C291" s="53" t="s">
        <v>503</v>
      </c>
      <c r="D291" s="53" t="s">
        <v>505</v>
      </c>
      <c r="E291" s="53" t="s">
        <v>494</v>
      </c>
      <c r="F291" s="53">
        <v>0.27</v>
      </c>
    </row>
    <row r="292" spans="1:6">
      <c r="A292" s="52">
        <v>41518</v>
      </c>
      <c r="B292" s="53" t="s">
        <v>502</v>
      </c>
      <c r="C292" s="53" t="s">
        <v>506</v>
      </c>
      <c r="D292" s="53" t="s">
        <v>504</v>
      </c>
      <c r="E292" s="53" t="s">
        <v>494</v>
      </c>
      <c r="F292" s="53">
        <v>0.37</v>
      </c>
    </row>
    <row r="293" spans="1:6">
      <c r="A293" s="52">
        <v>41518</v>
      </c>
      <c r="B293" s="53" t="s">
        <v>502</v>
      </c>
      <c r="C293" s="53" t="s">
        <v>506</v>
      </c>
      <c r="D293" s="53" t="s">
        <v>505</v>
      </c>
      <c r="E293" s="53" t="s">
        <v>494</v>
      </c>
      <c r="F293" s="53">
        <v>0.37</v>
      </c>
    </row>
    <row r="294" spans="1:6">
      <c r="A294" s="52">
        <v>41518</v>
      </c>
      <c r="B294" s="53" t="s">
        <v>507</v>
      </c>
      <c r="C294" s="53" t="s">
        <v>503</v>
      </c>
      <c r="D294" s="53" t="s">
        <v>504</v>
      </c>
      <c r="E294" s="53" t="s">
        <v>494</v>
      </c>
      <c r="F294" s="53">
        <v>0.18</v>
      </c>
    </row>
    <row r="295" spans="1:6">
      <c r="A295" s="52">
        <v>41518</v>
      </c>
      <c r="B295" s="53" t="s">
        <v>507</v>
      </c>
      <c r="C295" s="53" t="s">
        <v>506</v>
      </c>
      <c r="D295" s="53" t="s">
        <v>504</v>
      </c>
      <c r="E295" s="53" t="s">
        <v>494</v>
      </c>
      <c r="F295" s="53">
        <v>0.26</v>
      </c>
    </row>
    <row r="296" spans="1:6">
      <c r="A296" s="52">
        <v>41518</v>
      </c>
      <c r="B296" s="53" t="s">
        <v>507</v>
      </c>
      <c r="C296" s="53" t="s">
        <v>503</v>
      </c>
      <c r="D296" s="53" t="s">
        <v>505</v>
      </c>
      <c r="E296" s="53" t="s">
        <v>494</v>
      </c>
      <c r="F296" s="53">
        <v>0.18</v>
      </c>
    </row>
    <row r="297" spans="1:6">
      <c r="A297" s="52">
        <v>41518</v>
      </c>
      <c r="B297" s="53" t="s">
        <v>507</v>
      </c>
      <c r="C297" s="53" t="s">
        <v>506</v>
      </c>
      <c r="D297" s="53" t="s">
        <v>505</v>
      </c>
      <c r="E297" s="53" t="s">
        <v>494</v>
      </c>
      <c r="F297" s="53">
        <v>0.26</v>
      </c>
    </row>
    <row r="298" spans="1:6">
      <c r="A298" s="52">
        <v>41518</v>
      </c>
      <c r="B298" s="53" t="s">
        <v>508</v>
      </c>
      <c r="C298" s="53" t="s">
        <v>503</v>
      </c>
      <c r="D298" s="53" t="s">
        <v>504</v>
      </c>
      <c r="E298" s="53" t="s">
        <v>494</v>
      </c>
      <c r="F298" s="53">
        <v>0.23</v>
      </c>
    </row>
    <row r="299" spans="1:6">
      <c r="A299" s="52">
        <v>41518</v>
      </c>
      <c r="B299" s="53" t="s">
        <v>509</v>
      </c>
      <c r="C299" s="53" t="s">
        <v>503</v>
      </c>
      <c r="D299" s="53" t="s">
        <v>504</v>
      </c>
      <c r="E299" s="53" t="s">
        <v>494</v>
      </c>
      <c r="F299" s="53">
        <v>0.28999999999999998</v>
      </c>
    </row>
    <row r="300" spans="1:6">
      <c r="A300" s="52">
        <v>41518</v>
      </c>
      <c r="B300" s="53" t="s">
        <v>508</v>
      </c>
      <c r="C300" s="53" t="s">
        <v>506</v>
      </c>
      <c r="D300" s="53" t="s">
        <v>504</v>
      </c>
      <c r="E300" s="53" t="s">
        <v>494</v>
      </c>
      <c r="F300" s="53">
        <v>0.35</v>
      </c>
    </row>
    <row r="301" spans="1:6">
      <c r="A301" s="52">
        <v>41518</v>
      </c>
      <c r="B301" s="53" t="s">
        <v>509</v>
      </c>
      <c r="C301" s="53" t="s">
        <v>506</v>
      </c>
      <c r="D301" s="53" t="s">
        <v>504</v>
      </c>
      <c r="E301" s="53" t="s">
        <v>494</v>
      </c>
      <c r="F301" s="53">
        <v>0.41</v>
      </c>
    </row>
    <row r="302" spans="1:6">
      <c r="A302" s="52">
        <v>41518</v>
      </c>
      <c r="B302" s="53" t="s">
        <v>508</v>
      </c>
      <c r="C302" s="53" t="s">
        <v>503</v>
      </c>
      <c r="D302" s="53" t="s">
        <v>505</v>
      </c>
      <c r="E302" s="53" t="s">
        <v>494</v>
      </c>
      <c r="F302" s="53">
        <v>0.23</v>
      </c>
    </row>
    <row r="303" spans="1:6">
      <c r="A303" s="52">
        <v>41518</v>
      </c>
      <c r="B303" s="53" t="s">
        <v>509</v>
      </c>
      <c r="C303" s="53" t="s">
        <v>503</v>
      </c>
      <c r="D303" s="53" t="s">
        <v>505</v>
      </c>
      <c r="E303" s="53" t="s">
        <v>494</v>
      </c>
      <c r="F303" s="53">
        <v>0.28999999999999998</v>
      </c>
    </row>
    <row r="304" spans="1:6">
      <c r="A304" s="52">
        <v>41518</v>
      </c>
      <c r="B304" s="53" t="s">
        <v>508</v>
      </c>
      <c r="C304" s="53" t="s">
        <v>506</v>
      </c>
      <c r="D304" s="53" t="s">
        <v>505</v>
      </c>
      <c r="E304" s="53" t="s">
        <v>494</v>
      </c>
      <c r="F304" s="53">
        <v>0.35</v>
      </c>
    </row>
    <row r="305" spans="1:6">
      <c r="A305" s="52">
        <v>41518</v>
      </c>
      <c r="B305" s="53" t="s">
        <v>509</v>
      </c>
      <c r="C305" s="53" t="s">
        <v>506</v>
      </c>
      <c r="D305" s="53" t="s">
        <v>505</v>
      </c>
      <c r="E305" s="53" t="s">
        <v>494</v>
      </c>
      <c r="F305" s="53">
        <v>0.41</v>
      </c>
    </row>
    <row r="306" spans="1:6">
      <c r="A306" s="52">
        <v>41518</v>
      </c>
      <c r="B306" s="53" t="s">
        <v>510</v>
      </c>
      <c r="C306" s="53" t="s">
        <v>503</v>
      </c>
      <c r="D306" s="53" t="s">
        <v>504</v>
      </c>
      <c r="E306" s="53" t="s">
        <v>494</v>
      </c>
      <c r="F306" s="53">
        <v>0.81</v>
      </c>
    </row>
    <row r="307" spans="1:6">
      <c r="A307" s="52">
        <v>41518</v>
      </c>
      <c r="B307" s="53" t="s">
        <v>510</v>
      </c>
      <c r="C307" s="53" t="s">
        <v>503</v>
      </c>
      <c r="D307" s="53" t="s">
        <v>505</v>
      </c>
      <c r="E307" s="53" t="s">
        <v>494</v>
      </c>
      <c r="F307" s="53">
        <v>0.81</v>
      </c>
    </row>
    <row r="308" spans="1:6">
      <c r="A308" s="52">
        <v>41518</v>
      </c>
      <c r="B308" s="53" t="s">
        <v>510</v>
      </c>
      <c r="C308" s="53" t="s">
        <v>506</v>
      </c>
      <c r="D308" s="53" t="s">
        <v>504</v>
      </c>
      <c r="E308" s="53" t="s">
        <v>494</v>
      </c>
      <c r="F308" s="53">
        <v>0.81</v>
      </c>
    </row>
    <row r="309" spans="1:6">
      <c r="A309" s="52">
        <v>41518</v>
      </c>
      <c r="B309" s="53" t="s">
        <v>510</v>
      </c>
      <c r="C309" s="53" t="s">
        <v>506</v>
      </c>
      <c r="D309" s="53" t="s">
        <v>505</v>
      </c>
      <c r="E309" s="53" t="s">
        <v>494</v>
      </c>
      <c r="F309" s="53">
        <v>0.81</v>
      </c>
    </row>
    <row r="310" spans="1:6">
      <c r="A310" s="52">
        <v>41518</v>
      </c>
      <c r="B310" s="53" t="s">
        <v>511</v>
      </c>
      <c r="C310" s="53" t="s">
        <v>503</v>
      </c>
      <c r="D310" s="53" t="s">
        <v>504</v>
      </c>
      <c r="E310" s="53" t="s">
        <v>494</v>
      </c>
      <c r="F310" s="53">
        <v>1.1599999999999999</v>
      </c>
    </row>
    <row r="311" spans="1:6">
      <c r="A311" s="52">
        <v>41518</v>
      </c>
      <c r="B311" s="53" t="s">
        <v>511</v>
      </c>
      <c r="C311" s="53" t="s">
        <v>503</v>
      </c>
      <c r="D311" s="53" t="s">
        <v>505</v>
      </c>
      <c r="E311" s="53" t="s">
        <v>494</v>
      </c>
      <c r="F311" s="53">
        <v>1.1599999999999999</v>
      </c>
    </row>
    <row r="312" spans="1:6">
      <c r="A312" s="52">
        <v>41518</v>
      </c>
      <c r="B312" s="53" t="s">
        <v>511</v>
      </c>
      <c r="C312" s="53" t="s">
        <v>506</v>
      </c>
      <c r="D312" s="53" t="s">
        <v>504</v>
      </c>
      <c r="E312" s="53" t="s">
        <v>494</v>
      </c>
      <c r="F312" s="53">
        <v>1.1599999999999999</v>
      </c>
    </row>
    <row r="313" spans="1:6">
      <c r="A313" s="52">
        <v>41518</v>
      </c>
      <c r="B313" s="53" t="s">
        <v>511</v>
      </c>
      <c r="C313" s="53" t="s">
        <v>506</v>
      </c>
      <c r="D313" s="53" t="s">
        <v>505</v>
      </c>
      <c r="E313" s="53" t="s">
        <v>494</v>
      </c>
      <c r="F313" s="53">
        <v>1.1599999999999999</v>
      </c>
    </row>
    <row r="314" spans="1:6">
      <c r="A314" s="52">
        <v>41518</v>
      </c>
      <c r="B314" s="53" t="s">
        <v>502</v>
      </c>
      <c r="C314" s="53" t="s">
        <v>503</v>
      </c>
      <c r="D314" s="53" t="s">
        <v>504</v>
      </c>
      <c r="E314" s="53" t="s">
        <v>493</v>
      </c>
      <c r="F314" s="53">
        <v>0.27</v>
      </c>
    </row>
    <row r="315" spans="1:6">
      <c r="A315" s="52">
        <v>41518</v>
      </c>
      <c r="B315" s="53" t="s">
        <v>502</v>
      </c>
      <c r="C315" s="53" t="s">
        <v>503</v>
      </c>
      <c r="D315" s="53" t="s">
        <v>505</v>
      </c>
      <c r="E315" s="53" t="s">
        <v>493</v>
      </c>
      <c r="F315" s="53">
        <v>0.27</v>
      </c>
    </row>
    <row r="316" spans="1:6">
      <c r="A316" s="52">
        <v>41518</v>
      </c>
      <c r="B316" s="53" t="s">
        <v>502</v>
      </c>
      <c r="C316" s="53" t="s">
        <v>506</v>
      </c>
      <c r="D316" s="53" t="s">
        <v>504</v>
      </c>
      <c r="E316" s="53" t="s">
        <v>493</v>
      </c>
      <c r="F316" s="53">
        <v>0.37</v>
      </c>
    </row>
    <row r="317" spans="1:6">
      <c r="A317" s="52">
        <v>41518</v>
      </c>
      <c r="B317" s="53" t="s">
        <v>502</v>
      </c>
      <c r="C317" s="53" t="s">
        <v>506</v>
      </c>
      <c r="D317" s="53" t="s">
        <v>505</v>
      </c>
      <c r="E317" s="53" t="s">
        <v>493</v>
      </c>
      <c r="F317" s="53">
        <v>0.37</v>
      </c>
    </row>
    <row r="318" spans="1:6">
      <c r="A318" s="52">
        <v>41518</v>
      </c>
      <c r="B318" s="53" t="s">
        <v>507</v>
      </c>
      <c r="C318" s="53" t="s">
        <v>503</v>
      </c>
      <c r="D318" s="53" t="s">
        <v>504</v>
      </c>
      <c r="E318" s="53" t="s">
        <v>493</v>
      </c>
      <c r="F318" s="53">
        <v>0.18</v>
      </c>
    </row>
    <row r="319" spans="1:6">
      <c r="A319" s="52">
        <v>41518</v>
      </c>
      <c r="B319" s="53" t="s">
        <v>507</v>
      </c>
      <c r="C319" s="53" t="s">
        <v>506</v>
      </c>
      <c r="D319" s="53" t="s">
        <v>504</v>
      </c>
      <c r="E319" s="53" t="s">
        <v>493</v>
      </c>
      <c r="F319" s="53">
        <v>0.26</v>
      </c>
    </row>
    <row r="320" spans="1:6">
      <c r="A320" s="52">
        <v>41518</v>
      </c>
      <c r="B320" s="53" t="s">
        <v>507</v>
      </c>
      <c r="C320" s="53" t="s">
        <v>503</v>
      </c>
      <c r="D320" s="53" t="s">
        <v>505</v>
      </c>
      <c r="E320" s="53" t="s">
        <v>493</v>
      </c>
      <c r="F320" s="53">
        <v>0.18</v>
      </c>
    </row>
    <row r="321" spans="1:6">
      <c r="A321" s="52">
        <v>41518</v>
      </c>
      <c r="B321" s="53" t="s">
        <v>507</v>
      </c>
      <c r="C321" s="53" t="s">
        <v>506</v>
      </c>
      <c r="D321" s="53" t="s">
        <v>505</v>
      </c>
      <c r="E321" s="53" t="s">
        <v>493</v>
      </c>
      <c r="F321" s="53">
        <v>0.26</v>
      </c>
    </row>
    <row r="322" spans="1:6">
      <c r="A322" s="52">
        <v>41518</v>
      </c>
      <c r="B322" s="53" t="s">
        <v>508</v>
      </c>
      <c r="C322" s="53" t="s">
        <v>503</v>
      </c>
      <c r="D322" s="53" t="s">
        <v>504</v>
      </c>
      <c r="E322" s="53" t="s">
        <v>493</v>
      </c>
      <c r="F322" s="53">
        <v>0.23</v>
      </c>
    </row>
    <row r="323" spans="1:6">
      <c r="A323" s="52">
        <v>41518</v>
      </c>
      <c r="B323" s="53" t="s">
        <v>509</v>
      </c>
      <c r="C323" s="53" t="s">
        <v>503</v>
      </c>
      <c r="D323" s="53" t="s">
        <v>504</v>
      </c>
      <c r="E323" s="53" t="s">
        <v>493</v>
      </c>
      <c r="F323" s="53">
        <v>0.28999999999999998</v>
      </c>
    </row>
    <row r="324" spans="1:6">
      <c r="A324" s="52">
        <v>41518</v>
      </c>
      <c r="B324" s="53" t="s">
        <v>508</v>
      </c>
      <c r="C324" s="53" t="s">
        <v>506</v>
      </c>
      <c r="D324" s="53" t="s">
        <v>504</v>
      </c>
      <c r="E324" s="53" t="s">
        <v>493</v>
      </c>
      <c r="F324" s="53">
        <v>0.35</v>
      </c>
    </row>
    <row r="325" spans="1:6">
      <c r="A325" s="52">
        <v>41518</v>
      </c>
      <c r="B325" s="53" t="s">
        <v>509</v>
      </c>
      <c r="C325" s="53" t="s">
        <v>506</v>
      </c>
      <c r="D325" s="53" t="s">
        <v>504</v>
      </c>
      <c r="E325" s="53" t="s">
        <v>493</v>
      </c>
      <c r="F325" s="53">
        <v>0.41</v>
      </c>
    </row>
    <row r="326" spans="1:6">
      <c r="A326" s="52">
        <v>41518</v>
      </c>
      <c r="B326" s="53" t="s">
        <v>508</v>
      </c>
      <c r="C326" s="53" t="s">
        <v>503</v>
      </c>
      <c r="D326" s="53" t="s">
        <v>505</v>
      </c>
      <c r="E326" s="53" t="s">
        <v>493</v>
      </c>
      <c r="F326" s="53">
        <v>0.23</v>
      </c>
    </row>
    <row r="327" spans="1:6">
      <c r="A327" s="52">
        <v>41518</v>
      </c>
      <c r="B327" s="53" t="s">
        <v>509</v>
      </c>
      <c r="C327" s="53" t="s">
        <v>503</v>
      </c>
      <c r="D327" s="53" t="s">
        <v>505</v>
      </c>
      <c r="E327" s="53" t="s">
        <v>493</v>
      </c>
      <c r="F327" s="53">
        <v>0.28999999999999998</v>
      </c>
    </row>
    <row r="328" spans="1:6">
      <c r="A328" s="52">
        <v>41518</v>
      </c>
      <c r="B328" s="53" t="s">
        <v>508</v>
      </c>
      <c r="C328" s="53" t="s">
        <v>506</v>
      </c>
      <c r="D328" s="53" t="s">
        <v>505</v>
      </c>
      <c r="E328" s="53" t="s">
        <v>493</v>
      </c>
      <c r="F328" s="53">
        <v>0.35</v>
      </c>
    </row>
    <row r="329" spans="1:6">
      <c r="A329" s="52">
        <v>41518</v>
      </c>
      <c r="B329" s="53" t="s">
        <v>509</v>
      </c>
      <c r="C329" s="53" t="s">
        <v>506</v>
      </c>
      <c r="D329" s="53" t="s">
        <v>505</v>
      </c>
      <c r="E329" s="53" t="s">
        <v>493</v>
      </c>
      <c r="F329" s="53">
        <v>0.41</v>
      </c>
    </row>
    <row r="330" spans="1:6">
      <c r="A330" s="52">
        <v>41518</v>
      </c>
      <c r="B330" s="53" t="s">
        <v>510</v>
      </c>
      <c r="C330" s="53" t="s">
        <v>503</v>
      </c>
      <c r="D330" s="53" t="s">
        <v>504</v>
      </c>
      <c r="E330" s="53" t="s">
        <v>493</v>
      </c>
      <c r="F330" s="53">
        <v>0.81</v>
      </c>
    </row>
    <row r="331" spans="1:6">
      <c r="A331" s="52">
        <v>41518</v>
      </c>
      <c r="B331" s="53" t="s">
        <v>510</v>
      </c>
      <c r="C331" s="53" t="s">
        <v>503</v>
      </c>
      <c r="D331" s="53" t="s">
        <v>505</v>
      </c>
      <c r="E331" s="53" t="s">
        <v>493</v>
      </c>
      <c r="F331" s="53">
        <v>0.81</v>
      </c>
    </row>
    <row r="332" spans="1:6">
      <c r="A332" s="52">
        <v>41518</v>
      </c>
      <c r="B332" s="53" t="s">
        <v>510</v>
      </c>
      <c r="C332" s="53" t="s">
        <v>506</v>
      </c>
      <c r="D332" s="53" t="s">
        <v>504</v>
      </c>
      <c r="E332" s="53" t="s">
        <v>493</v>
      </c>
      <c r="F332" s="53">
        <v>0.81</v>
      </c>
    </row>
    <row r="333" spans="1:6">
      <c r="A333" s="52">
        <v>41518</v>
      </c>
      <c r="B333" s="53" t="s">
        <v>510</v>
      </c>
      <c r="C333" s="53" t="s">
        <v>506</v>
      </c>
      <c r="D333" s="53" t="s">
        <v>505</v>
      </c>
      <c r="E333" s="53" t="s">
        <v>493</v>
      </c>
      <c r="F333" s="53">
        <v>0.81</v>
      </c>
    </row>
    <row r="334" spans="1:6">
      <c r="A334" s="52">
        <v>41518</v>
      </c>
      <c r="B334" s="53" t="s">
        <v>511</v>
      </c>
      <c r="C334" s="53" t="s">
        <v>503</v>
      </c>
      <c r="D334" s="53" t="s">
        <v>504</v>
      </c>
      <c r="E334" s="53" t="s">
        <v>493</v>
      </c>
      <c r="F334" s="53">
        <v>1.1599999999999999</v>
      </c>
    </row>
    <row r="335" spans="1:6">
      <c r="A335" s="52">
        <v>41518</v>
      </c>
      <c r="B335" s="53" t="s">
        <v>511</v>
      </c>
      <c r="C335" s="53" t="s">
        <v>503</v>
      </c>
      <c r="D335" s="53" t="s">
        <v>505</v>
      </c>
      <c r="E335" s="53" t="s">
        <v>493</v>
      </c>
      <c r="F335" s="53">
        <v>1.1599999999999999</v>
      </c>
    </row>
    <row r="336" spans="1:6">
      <c r="A336" s="52">
        <v>41518</v>
      </c>
      <c r="B336" s="53" t="s">
        <v>511</v>
      </c>
      <c r="C336" s="53" t="s">
        <v>506</v>
      </c>
      <c r="D336" s="53" t="s">
        <v>504</v>
      </c>
      <c r="E336" s="53" t="s">
        <v>493</v>
      </c>
      <c r="F336" s="53">
        <v>1.1599999999999999</v>
      </c>
    </row>
    <row r="337" spans="1:6">
      <c r="A337" s="52">
        <v>41518</v>
      </c>
      <c r="B337" s="53" t="s">
        <v>511</v>
      </c>
      <c r="C337" s="53" t="s">
        <v>506</v>
      </c>
      <c r="D337" s="53" t="s">
        <v>505</v>
      </c>
      <c r="E337" s="53" t="s">
        <v>493</v>
      </c>
      <c r="F337" s="53">
        <v>1.1599999999999999</v>
      </c>
    </row>
    <row r="338" spans="1:6">
      <c r="A338" s="52">
        <v>41518</v>
      </c>
      <c r="B338" s="53" t="s">
        <v>502</v>
      </c>
      <c r="C338" s="53" t="s">
        <v>503</v>
      </c>
      <c r="D338" s="53" t="s">
        <v>504</v>
      </c>
      <c r="E338" s="53" t="s">
        <v>495</v>
      </c>
      <c r="F338" s="53">
        <v>0.34</v>
      </c>
    </row>
    <row r="339" spans="1:6">
      <c r="A339" s="52">
        <v>41518</v>
      </c>
      <c r="B339" s="53" t="s">
        <v>502</v>
      </c>
      <c r="C339" s="53" t="s">
        <v>503</v>
      </c>
      <c r="D339" s="53" t="s">
        <v>505</v>
      </c>
      <c r="E339" s="53" t="s">
        <v>495</v>
      </c>
      <c r="F339" s="53">
        <v>0.34</v>
      </c>
    </row>
    <row r="340" spans="1:6">
      <c r="A340" s="52">
        <v>41518</v>
      </c>
      <c r="B340" s="53" t="s">
        <v>502</v>
      </c>
      <c r="C340" s="53" t="s">
        <v>506</v>
      </c>
      <c r="D340" s="53" t="s">
        <v>504</v>
      </c>
      <c r="E340" s="53" t="s">
        <v>495</v>
      </c>
      <c r="F340" s="53">
        <v>0.48</v>
      </c>
    </row>
    <row r="341" spans="1:6">
      <c r="A341" s="52">
        <v>41518</v>
      </c>
      <c r="B341" s="53" t="s">
        <v>502</v>
      </c>
      <c r="C341" s="53" t="s">
        <v>506</v>
      </c>
      <c r="D341" s="53" t="s">
        <v>505</v>
      </c>
      <c r="E341" s="53" t="s">
        <v>495</v>
      </c>
      <c r="F341" s="53">
        <v>0.48</v>
      </c>
    </row>
    <row r="342" spans="1:6">
      <c r="A342" s="52">
        <v>41518</v>
      </c>
      <c r="B342" s="53" t="s">
        <v>507</v>
      </c>
      <c r="C342" s="53" t="s">
        <v>503</v>
      </c>
      <c r="D342" s="53" t="s">
        <v>504</v>
      </c>
      <c r="E342" s="53" t="s">
        <v>495</v>
      </c>
      <c r="F342" s="53">
        <v>0.22</v>
      </c>
    </row>
    <row r="343" spans="1:6">
      <c r="A343" s="52">
        <v>41518</v>
      </c>
      <c r="B343" s="53" t="s">
        <v>507</v>
      </c>
      <c r="C343" s="53" t="s">
        <v>506</v>
      </c>
      <c r="D343" s="53" t="s">
        <v>504</v>
      </c>
      <c r="E343" s="53" t="s">
        <v>495</v>
      </c>
      <c r="F343" s="53">
        <v>0.31</v>
      </c>
    </row>
    <row r="344" spans="1:6">
      <c r="A344" s="52">
        <v>41518</v>
      </c>
      <c r="B344" s="53" t="s">
        <v>507</v>
      </c>
      <c r="C344" s="53" t="s">
        <v>503</v>
      </c>
      <c r="D344" s="53" t="s">
        <v>505</v>
      </c>
      <c r="E344" s="53" t="s">
        <v>495</v>
      </c>
      <c r="F344" s="53">
        <v>0.22</v>
      </c>
    </row>
    <row r="345" spans="1:6">
      <c r="A345" s="52">
        <v>41518</v>
      </c>
      <c r="B345" s="53" t="s">
        <v>507</v>
      </c>
      <c r="C345" s="53" t="s">
        <v>506</v>
      </c>
      <c r="D345" s="53" t="s">
        <v>505</v>
      </c>
      <c r="E345" s="53" t="s">
        <v>495</v>
      </c>
      <c r="F345" s="53">
        <v>0.31</v>
      </c>
    </row>
    <row r="346" spans="1:6">
      <c r="A346" s="52">
        <v>41518</v>
      </c>
      <c r="B346" s="53" t="s">
        <v>508</v>
      </c>
      <c r="C346" s="53" t="s">
        <v>503</v>
      </c>
      <c r="D346" s="53" t="s">
        <v>504</v>
      </c>
      <c r="E346" s="53" t="s">
        <v>495</v>
      </c>
      <c r="F346" s="53">
        <v>0.28000000000000003</v>
      </c>
    </row>
    <row r="347" spans="1:6">
      <c r="A347" s="52">
        <v>41518</v>
      </c>
      <c r="B347" s="53" t="s">
        <v>509</v>
      </c>
      <c r="C347" s="53" t="s">
        <v>503</v>
      </c>
      <c r="D347" s="53" t="s">
        <v>504</v>
      </c>
      <c r="E347" s="53" t="s">
        <v>495</v>
      </c>
      <c r="F347" s="53">
        <v>0.28999999999999998</v>
      </c>
    </row>
    <row r="348" spans="1:6">
      <c r="A348" s="52">
        <v>41518</v>
      </c>
      <c r="B348" s="53" t="s">
        <v>508</v>
      </c>
      <c r="C348" s="53" t="s">
        <v>506</v>
      </c>
      <c r="D348" s="53" t="s">
        <v>504</v>
      </c>
      <c r="E348" s="53" t="s">
        <v>495</v>
      </c>
      <c r="F348" s="53">
        <v>0.4</v>
      </c>
    </row>
    <row r="349" spans="1:6">
      <c r="A349" s="52">
        <v>41518</v>
      </c>
      <c r="B349" s="53" t="s">
        <v>509</v>
      </c>
      <c r="C349" s="53" t="s">
        <v>506</v>
      </c>
      <c r="D349" s="53" t="s">
        <v>504</v>
      </c>
      <c r="E349" s="53" t="s">
        <v>495</v>
      </c>
      <c r="F349" s="53">
        <v>0.41</v>
      </c>
    </row>
    <row r="350" spans="1:6">
      <c r="A350" s="52">
        <v>41518</v>
      </c>
      <c r="B350" s="53" t="s">
        <v>508</v>
      </c>
      <c r="C350" s="53" t="s">
        <v>503</v>
      </c>
      <c r="D350" s="53" t="s">
        <v>505</v>
      </c>
      <c r="E350" s="53" t="s">
        <v>495</v>
      </c>
      <c r="F350" s="53">
        <v>0.28000000000000003</v>
      </c>
    </row>
    <row r="351" spans="1:6">
      <c r="A351" s="52">
        <v>41518</v>
      </c>
      <c r="B351" s="53" t="s">
        <v>509</v>
      </c>
      <c r="C351" s="53" t="s">
        <v>503</v>
      </c>
      <c r="D351" s="53" t="s">
        <v>505</v>
      </c>
      <c r="E351" s="53" t="s">
        <v>495</v>
      </c>
      <c r="F351" s="53">
        <v>0.28999999999999998</v>
      </c>
    </row>
    <row r="352" spans="1:6">
      <c r="A352" s="52">
        <v>41518</v>
      </c>
      <c r="B352" s="53" t="s">
        <v>508</v>
      </c>
      <c r="C352" s="53" t="s">
        <v>506</v>
      </c>
      <c r="D352" s="53" t="s">
        <v>505</v>
      </c>
      <c r="E352" s="53" t="s">
        <v>495</v>
      </c>
      <c r="F352" s="53">
        <v>0.4</v>
      </c>
    </row>
    <row r="353" spans="1:6">
      <c r="A353" s="52">
        <v>41518</v>
      </c>
      <c r="B353" s="53" t="s">
        <v>509</v>
      </c>
      <c r="C353" s="53" t="s">
        <v>506</v>
      </c>
      <c r="D353" s="53" t="s">
        <v>505</v>
      </c>
      <c r="E353" s="53" t="s">
        <v>495</v>
      </c>
      <c r="F353" s="53">
        <v>0.41</v>
      </c>
    </row>
    <row r="354" spans="1:6">
      <c r="A354" s="52">
        <v>41518</v>
      </c>
      <c r="B354" s="53" t="s">
        <v>510</v>
      </c>
      <c r="C354" s="53" t="s">
        <v>503</v>
      </c>
      <c r="D354" s="53" t="s">
        <v>504</v>
      </c>
      <c r="E354" s="53" t="s">
        <v>495</v>
      </c>
      <c r="F354" s="53">
        <v>0.81</v>
      </c>
    </row>
    <row r="355" spans="1:6">
      <c r="A355" s="52">
        <v>41518</v>
      </c>
      <c r="B355" s="53" t="s">
        <v>510</v>
      </c>
      <c r="C355" s="53" t="s">
        <v>503</v>
      </c>
      <c r="D355" s="53" t="s">
        <v>505</v>
      </c>
      <c r="E355" s="53" t="s">
        <v>495</v>
      </c>
      <c r="F355" s="53">
        <v>0.81</v>
      </c>
    </row>
    <row r="356" spans="1:6">
      <c r="A356" s="52">
        <v>41518</v>
      </c>
      <c r="B356" s="53" t="s">
        <v>510</v>
      </c>
      <c r="C356" s="53" t="s">
        <v>506</v>
      </c>
      <c r="D356" s="53" t="s">
        <v>504</v>
      </c>
      <c r="E356" s="53" t="s">
        <v>495</v>
      </c>
      <c r="F356" s="53">
        <v>0.81</v>
      </c>
    </row>
    <row r="357" spans="1:6">
      <c r="A357" s="52">
        <v>41518</v>
      </c>
      <c r="B357" s="53" t="s">
        <v>510</v>
      </c>
      <c r="C357" s="53" t="s">
        <v>506</v>
      </c>
      <c r="D357" s="53" t="s">
        <v>505</v>
      </c>
      <c r="E357" s="53" t="s">
        <v>495</v>
      </c>
      <c r="F357" s="53">
        <v>0.81</v>
      </c>
    </row>
    <row r="358" spans="1:6">
      <c r="A358" s="52">
        <v>41518</v>
      </c>
      <c r="B358" s="53" t="s">
        <v>511</v>
      </c>
      <c r="C358" s="53" t="s">
        <v>503</v>
      </c>
      <c r="D358" s="53" t="s">
        <v>504</v>
      </c>
      <c r="E358" s="53" t="s">
        <v>495</v>
      </c>
      <c r="F358" s="53">
        <v>1.1599999999999999</v>
      </c>
    </row>
    <row r="359" spans="1:6">
      <c r="A359" s="52">
        <v>41518</v>
      </c>
      <c r="B359" s="53" t="s">
        <v>511</v>
      </c>
      <c r="C359" s="53" t="s">
        <v>503</v>
      </c>
      <c r="D359" s="53" t="s">
        <v>505</v>
      </c>
      <c r="E359" s="53" t="s">
        <v>495</v>
      </c>
      <c r="F359" s="53">
        <v>1.1599999999999999</v>
      </c>
    </row>
    <row r="360" spans="1:6">
      <c r="A360" s="52">
        <v>41518</v>
      </c>
      <c r="B360" s="53" t="s">
        <v>511</v>
      </c>
      <c r="C360" s="53" t="s">
        <v>506</v>
      </c>
      <c r="D360" s="53" t="s">
        <v>504</v>
      </c>
      <c r="E360" s="53" t="s">
        <v>495</v>
      </c>
      <c r="F360" s="53">
        <v>1.1599999999999999</v>
      </c>
    </row>
    <row r="361" spans="1:6">
      <c r="A361" s="52">
        <v>41518</v>
      </c>
      <c r="B361" s="53" t="s">
        <v>511</v>
      </c>
      <c r="C361" s="53" t="s">
        <v>506</v>
      </c>
      <c r="D361" s="53" t="s">
        <v>505</v>
      </c>
      <c r="E361" s="53" t="s">
        <v>495</v>
      </c>
      <c r="F361" s="53">
        <v>1.1599999999999999</v>
      </c>
    </row>
    <row r="362" spans="1:6">
      <c r="A362" s="52">
        <v>41518</v>
      </c>
      <c r="B362" s="53" t="s">
        <v>502</v>
      </c>
      <c r="C362" s="53" t="s">
        <v>503</v>
      </c>
      <c r="D362" s="53" t="s">
        <v>504</v>
      </c>
      <c r="E362" s="53" t="s">
        <v>496</v>
      </c>
      <c r="F362" s="53">
        <v>0.44</v>
      </c>
    </row>
    <row r="363" spans="1:6">
      <c r="A363" s="52">
        <v>41518</v>
      </c>
      <c r="B363" s="53" t="s">
        <v>502</v>
      </c>
      <c r="C363" s="53" t="s">
        <v>503</v>
      </c>
      <c r="D363" s="53" t="s">
        <v>505</v>
      </c>
      <c r="E363" s="53" t="s">
        <v>496</v>
      </c>
      <c r="F363" s="53">
        <v>0.44</v>
      </c>
    </row>
    <row r="364" spans="1:6">
      <c r="A364" s="52">
        <v>41518</v>
      </c>
      <c r="B364" s="53" t="s">
        <v>502</v>
      </c>
      <c r="C364" s="53" t="s">
        <v>506</v>
      </c>
      <c r="D364" s="53" t="s">
        <v>504</v>
      </c>
      <c r="E364" s="53" t="s">
        <v>496</v>
      </c>
      <c r="F364" s="53">
        <v>0.64</v>
      </c>
    </row>
    <row r="365" spans="1:6">
      <c r="A365" s="52">
        <v>41518</v>
      </c>
      <c r="B365" s="53" t="s">
        <v>502</v>
      </c>
      <c r="C365" s="53" t="s">
        <v>506</v>
      </c>
      <c r="D365" s="53" t="s">
        <v>505</v>
      </c>
      <c r="E365" s="53" t="s">
        <v>496</v>
      </c>
      <c r="F365" s="53">
        <v>0.64</v>
      </c>
    </row>
    <row r="366" spans="1:6">
      <c r="A366" s="52">
        <v>41518</v>
      </c>
      <c r="B366" s="53" t="s">
        <v>507</v>
      </c>
      <c r="C366" s="53" t="s">
        <v>503</v>
      </c>
      <c r="D366" s="53" t="s">
        <v>504</v>
      </c>
      <c r="E366" s="53" t="s">
        <v>496</v>
      </c>
      <c r="F366" s="53">
        <v>0.28000000000000003</v>
      </c>
    </row>
    <row r="367" spans="1:6">
      <c r="A367" s="52">
        <v>41518</v>
      </c>
      <c r="B367" s="53" t="s">
        <v>507</v>
      </c>
      <c r="C367" s="53" t="s">
        <v>506</v>
      </c>
      <c r="D367" s="53" t="s">
        <v>504</v>
      </c>
      <c r="E367" s="53" t="s">
        <v>496</v>
      </c>
      <c r="F367" s="53">
        <v>0.4</v>
      </c>
    </row>
    <row r="368" spans="1:6">
      <c r="A368" s="52">
        <v>41518</v>
      </c>
      <c r="B368" s="53" t="s">
        <v>507</v>
      </c>
      <c r="C368" s="53" t="s">
        <v>503</v>
      </c>
      <c r="D368" s="53" t="s">
        <v>505</v>
      </c>
      <c r="E368" s="53" t="s">
        <v>496</v>
      </c>
      <c r="F368" s="53">
        <v>0.28000000000000003</v>
      </c>
    </row>
    <row r="369" spans="1:6">
      <c r="A369" s="52">
        <v>41518</v>
      </c>
      <c r="B369" s="53" t="s">
        <v>507</v>
      </c>
      <c r="C369" s="53" t="s">
        <v>506</v>
      </c>
      <c r="D369" s="53" t="s">
        <v>505</v>
      </c>
      <c r="E369" s="53" t="s">
        <v>496</v>
      </c>
      <c r="F369" s="53">
        <v>0.4</v>
      </c>
    </row>
    <row r="370" spans="1:6">
      <c r="A370" s="52">
        <v>41518</v>
      </c>
      <c r="B370" s="53" t="s">
        <v>508</v>
      </c>
      <c r="C370" s="53" t="s">
        <v>503</v>
      </c>
      <c r="D370" s="53" t="s">
        <v>504</v>
      </c>
      <c r="E370" s="53" t="s">
        <v>496</v>
      </c>
      <c r="F370" s="53">
        <v>0.33</v>
      </c>
    </row>
    <row r="371" spans="1:6">
      <c r="A371" s="52">
        <v>41518</v>
      </c>
      <c r="B371" s="53" t="s">
        <v>509</v>
      </c>
      <c r="C371" s="53" t="s">
        <v>503</v>
      </c>
      <c r="D371" s="53" t="s">
        <v>504</v>
      </c>
      <c r="E371" s="53" t="s">
        <v>496</v>
      </c>
      <c r="F371" s="53">
        <v>0.28999999999999998</v>
      </c>
    </row>
    <row r="372" spans="1:6">
      <c r="A372" s="52">
        <v>41518</v>
      </c>
      <c r="B372" s="53" t="s">
        <v>508</v>
      </c>
      <c r="C372" s="53" t="s">
        <v>506</v>
      </c>
      <c r="D372" s="53" t="s">
        <v>504</v>
      </c>
      <c r="E372" s="53" t="s">
        <v>496</v>
      </c>
      <c r="F372" s="53">
        <v>0.47</v>
      </c>
    </row>
    <row r="373" spans="1:6">
      <c r="A373" s="52">
        <v>41518</v>
      </c>
      <c r="B373" s="53" t="s">
        <v>509</v>
      </c>
      <c r="C373" s="53" t="s">
        <v>506</v>
      </c>
      <c r="D373" s="53" t="s">
        <v>504</v>
      </c>
      <c r="E373" s="53" t="s">
        <v>496</v>
      </c>
      <c r="F373" s="53">
        <v>0.41</v>
      </c>
    </row>
    <row r="374" spans="1:6">
      <c r="A374" s="52">
        <v>41518</v>
      </c>
      <c r="B374" s="53" t="s">
        <v>508</v>
      </c>
      <c r="C374" s="53" t="s">
        <v>503</v>
      </c>
      <c r="D374" s="53" t="s">
        <v>505</v>
      </c>
      <c r="E374" s="53" t="s">
        <v>496</v>
      </c>
      <c r="F374" s="53">
        <v>0.33</v>
      </c>
    </row>
    <row r="375" spans="1:6">
      <c r="A375" s="52">
        <v>41518</v>
      </c>
      <c r="B375" s="53" t="s">
        <v>509</v>
      </c>
      <c r="C375" s="53" t="s">
        <v>503</v>
      </c>
      <c r="D375" s="53" t="s">
        <v>505</v>
      </c>
      <c r="E375" s="53" t="s">
        <v>496</v>
      </c>
      <c r="F375" s="53">
        <v>0.28999999999999998</v>
      </c>
    </row>
    <row r="376" spans="1:6">
      <c r="A376" s="52">
        <v>41518</v>
      </c>
      <c r="B376" s="53" t="s">
        <v>508</v>
      </c>
      <c r="C376" s="53" t="s">
        <v>506</v>
      </c>
      <c r="D376" s="53" t="s">
        <v>505</v>
      </c>
      <c r="E376" s="53" t="s">
        <v>496</v>
      </c>
      <c r="F376" s="53">
        <v>0.47</v>
      </c>
    </row>
    <row r="377" spans="1:6">
      <c r="A377" s="52">
        <v>41518</v>
      </c>
      <c r="B377" s="53" t="s">
        <v>509</v>
      </c>
      <c r="C377" s="53" t="s">
        <v>506</v>
      </c>
      <c r="D377" s="53" t="s">
        <v>505</v>
      </c>
      <c r="E377" s="53" t="s">
        <v>496</v>
      </c>
      <c r="F377" s="53">
        <v>0.41</v>
      </c>
    </row>
    <row r="378" spans="1:6">
      <c r="A378" s="52">
        <v>41518</v>
      </c>
      <c r="B378" s="53" t="s">
        <v>510</v>
      </c>
      <c r="C378" s="53" t="s">
        <v>503</v>
      </c>
      <c r="D378" s="53" t="s">
        <v>504</v>
      </c>
      <c r="E378" s="53" t="s">
        <v>496</v>
      </c>
      <c r="F378" s="53">
        <v>0.81</v>
      </c>
    </row>
    <row r="379" spans="1:6">
      <c r="A379" s="52">
        <v>41518</v>
      </c>
      <c r="B379" s="53" t="s">
        <v>510</v>
      </c>
      <c r="C379" s="53" t="s">
        <v>503</v>
      </c>
      <c r="D379" s="53" t="s">
        <v>505</v>
      </c>
      <c r="E379" s="53" t="s">
        <v>496</v>
      </c>
      <c r="F379" s="53">
        <v>0.81</v>
      </c>
    </row>
    <row r="380" spans="1:6">
      <c r="A380" s="52">
        <v>41518</v>
      </c>
      <c r="B380" s="53" t="s">
        <v>510</v>
      </c>
      <c r="C380" s="53" t="s">
        <v>506</v>
      </c>
      <c r="D380" s="53" t="s">
        <v>504</v>
      </c>
      <c r="E380" s="53" t="s">
        <v>496</v>
      </c>
      <c r="F380" s="53">
        <v>0.81</v>
      </c>
    </row>
    <row r="381" spans="1:6">
      <c r="A381" s="52">
        <v>41518</v>
      </c>
      <c r="B381" s="53" t="s">
        <v>510</v>
      </c>
      <c r="C381" s="53" t="s">
        <v>506</v>
      </c>
      <c r="D381" s="53" t="s">
        <v>505</v>
      </c>
      <c r="E381" s="53" t="s">
        <v>496</v>
      </c>
      <c r="F381" s="53">
        <v>0.81</v>
      </c>
    </row>
    <row r="382" spans="1:6">
      <c r="A382" s="52">
        <v>41518</v>
      </c>
      <c r="B382" s="53" t="s">
        <v>511</v>
      </c>
      <c r="C382" s="53" t="s">
        <v>503</v>
      </c>
      <c r="D382" s="53" t="s">
        <v>504</v>
      </c>
      <c r="E382" s="53" t="s">
        <v>496</v>
      </c>
      <c r="F382" s="53">
        <v>1.1599999999999999</v>
      </c>
    </row>
    <row r="383" spans="1:6">
      <c r="A383" s="52">
        <v>41518</v>
      </c>
      <c r="B383" s="53" t="s">
        <v>511</v>
      </c>
      <c r="C383" s="53" t="s">
        <v>503</v>
      </c>
      <c r="D383" s="53" t="s">
        <v>505</v>
      </c>
      <c r="E383" s="53" t="s">
        <v>496</v>
      </c>
      <c r="F383" s="53">
        <v>1.1599999999999999</v>
      </c>
    </row>
    <row r="384" spans="1:6">
      <c r="A384" s="52">
        <v>41518</v>
      </c>
      <c r="B384" s="53" t="s">
        <v>511</v>
      </c>
      <c r="C384" s="53" t="s">
        <v>506</v>
      </c>
      <c r="D384" s="53" t="s">
        <v>504</v>
      </c>
      <c r="E384" s="53" t="s">
        <v>496</v>
      </c>
      <c r="F384" s="53">
        <v>1.1599999999999999</v>
      </c>
    </row>
    <row r="385" spans="1:6">
      <c r="A385" s="52">
        <v>41518</v>
      </c>
      <c r="B385" s="53" t="s">
        <v>511</v>
      </c>
      <c r="C385" s="53" t="s">
        <v>506</v>
      </c>
      <c r="D385" s="53" t="s">
        <v>505</v>
      </c>
      <c r="E385" s="53" t="s">
        <v>496</v>
      </c>
      <c r="F385" s="53">
        <v>1.1599999999999999</v>
      </c>
    </row>
    <row r="386" spans="1:6">
      <c r="A386" s="52">
        <v>40487</v>
      </c>
      <c r="B386" s="53" t="s">
        <v>502</v>
      </c>
      <c r="C386" s="53" t="s">
        <v>503</v>
      </c>
      <c r="D386" s="53" t="s">
        <v>504</v>
      </c>
      <c r="E386" s="53" t="s">
        <v>494</v>
      </c>
      <c r="F386" s="53">
        <v>0.36</v>
      </c>
    </row>
    <row r="387" spans="1:6">
      <c r="A387" s="52">
        <v>40487</v>
      </c>
      <c r="B387" s="53" t="s">
        <v>502</v>
      </c>
      <c r="C387" s="53" t="s">
        <v>506</v>
      </c>
      <c r="D387" s="53" t="s">
        <v>504</v>
      </c>
      <c r="E387" s="53" t="s">
        <v>494</v>
      </c>
      <c r="F387" s="53">
        <v>0.49</v>
      </c>
    </row>
    <row r="388" spans="1:6">
      <c r="A388" s="52">
        <v>40487</v>
      </c>
      <c r="B388" s="53" t="s">
        <v>502</v>
      </c>
      <c r="C388" s="53" t="s">
        <v>503</v>
      </c>
      <c r="D388" s="53" t="s">
        <v>505</v>
      </c>
      <c r="E388" s="53" t="s">
        <v>494</v>
      </c>
      <c r="F388" s="53">
        <v>0.36</v>
      </c>
    </row>
    <row r="389" spans="1:6">
      <c r="A389" s="52">
        <v>40487</v>
      </c>
      <c r="B389" s="53" t="s">
        <v>502</v>
      </c>
      <c r="C389" s="53" t="s">
        <v>506</v>
      </c>
      <c r="D389" s="53" t="s">
        <v>505</v>
      </c>
      <c r="E389" s="53" t="s">
        <v>494</v>
      </c>
      <c r="F389" s="53">
        <v>0.49</v>
      </c>
    </row>
    <row r="390" spans="1:6">
      <c r="A390" s="52">
        <v>40487</v>
      </c>
      <c r="B390" s="53" t="s">
        <v>507</v>
      </c>
      <c r="C390" s="53" t="s">
        <v>503</v>
      </c>
      <c r="D390" s="53" t="s">
        <v>504</v>
      </c>
      <c r="E390" s="53" t="s">
        <v>494</v>
      </c>
      <c r="F390" s="53">
        <v>0.2</v>
      </c>
    </row>
    <row r="391" spans="1:6">
      <c r="A391" s="52">
        <v>40487</v>
      </c>
      <c r="B391" s="53" t="s">
        <v>507</v>
      </c>
      <c r="C391" s="53" t="s">
        <v>506</v>
      </c>
      <c r="D391" s="53" t="s">
        <v>504</v>
      </c>
      <c r="E391" s="53" t="s">
        <v>494</v>
      </c>
      <c r="F391" s="53">
        <v>0.28999999999999998</v>
      </c>
    </row>
    <row r="392" spans="1:6">
      <c r="A392" s="52">
        <v>40487</v>
      </c>
      <c r="B392" s="53" t="s">
        <v>507</v>
      </c>
      <c r="C392" s="53" t="s">
        <v>503</v>
      </c>
      <c r="D392" s="53" t="s">
        <v>505</v>
      </c>
      <c r="E392" s="53" t="s">
        <v>494</v>
      </c>
      <c r="F392" s="53">
        <v>0.2</v>
      </c>
    </row>
    <row r="393" spans="1:6">
      <c r="A393" s="52">
        <v>40487</v>
      </c>
      <c r="B393" s="53" t="s">
        <v>507</v>
      </c>
      <c r="C393" s="53" t="s">
        <v>506</v>
      </c>
      <c r="D393" s="53" t="s">
        <v>505</v>
      </c>
      <c r="E393" s="53" t="s">
        <v>494</v>
      </c>
      <c r="F393" s="53">
        <v>0.28999999999999998</v>
      </c>
    </row>
    <row r="394" spans="1:6">
      <c r="A394" s="52">
        <v>40487</v>
      </c>
      <c r="B394" s="53" t="s">
        <v>508</v>
      </c>
      <c r="C394" s="53" t="s">
        <v>503</v>
      </c>
      <c r="D394" s="53" t="s">
        <v>504</v>
      </c>
      <c r="E394" s="53" t="s">
        <v>494</v>
      </c>
      <c r="F394" s="53">
        <v>0.3</v>
      </c>
    </row>
    <row r="395" spans="1:6">
      <c r="A395" s="52">
        <v>40487</v>
      </c>
      <c r="B395" s="53" t="s">
        <v>509</v>
      </c>
      <c r="C395" s="53" t="s">
        <v>503</v>
      </c>
      <c r="D395" s="53" t="s">
        <v>504</v>
      </c>
      <c r="E395" s="53" t="s">
        <v>494</v>
      </c>
      <c r="F395" s="53">
        <v>0.41</v>
      </c>
    </row>
    <row r="396" spans="1:6">
      <c r="A396" s="52">
        <v>40487</v>
      </c>
      <c r="B396" s="53" t="s">
        <v>508</v>
      </c>
      <c r="C396" s="53" t="s">
        <v>506</v>
      </c>
      <c r="D396" s="53" t="s">
        <v>504</v>
      </c>
      <c r="E396" s="53" t="s">
        <v>494</v>
      </c>
      <c r="F396" s="53">
        <v>0.43</v>
      </c>
    </row>
    <row r="397" spans="1:6">
      <c r="A397" s="52">
        <v>40487</v>
      </c>
      <c r="B397" s="53" t="s">
        <v>509</v>
      </c>
      <c r="C397" s="53" t="s">
        <v>506</v>
      </c>
      <c r="D397" s="53" t="s">
        <v>504</v>
      </c>
      <c r="E397" s="53" t="s">
        <v>494</v>
      </c>
      <c r="F397" s="53">
        <v>0.57999999999999996</v>
      </c>
    </row>
    <row r="398" spans="1:6">
      <c r="A398" s="52">
        <v>40487</v>
      </c>
      <c r="B398" s="53" t="s">
        <v>508</v>
      </c>
      <c r="C398" s="53" t="s">
        <v>503</v>
      </c>
      <c r="D398" s="53" t="s">
        <v>505</v>
      </c>
      <c r="E398" s="53" t="s">
        <v>494</v>
      </c>
      <c r="F398" s="53">
        <v>0.3</v>
      </c>
    </row>
    <row r="399" spans="1:6">
      <c r="A399" s="52">
        <v>40487</v>
      </c>
      <c r="B399" s="53" t="s">
        <v>509</v>
      </c>
      <c r="C399" s="53" t="s">
        <v>503</v>
      </c>
      <c r="D399" s="53" t="s">
        <v>505</v>
      </c>
      <c r="E399" s="53" t="s">
        <v>494</v>
      </c>
      <c r="F399" s="53">
        <v>0.41</v>
      </c>
    </row>
    <row r="400" spans="1:6">
      <c r="A400" s="52">
        <v>40487</v>
      </c>
      <c r="B400" s="53" t="s">
        <v>508</v>
      </c>
      <c r="C400" s="53" t="s">
        <v>506</v>
      </c>
      <c r="D400" s="53" t="s">
        <v>505</v>
      </c>
      <c r="E400" s="53" t="s">
        <v>494</v>
      </c>
      <c r="F400" s="53">
        <v>0.43</v>
      </c>
    </row>
    <row r="401" spans="1:6">
      <c r="A401" s="52">
        <v>40487</v>
      </c>
      <c r="B401" s="53" t="s">
        <v>509</v>
      </c>
      <c r="C401" s="53" t="s">
        <v>506</v>
      </c>
      <c r="D401" s="53" t="s">
        <v>505</v>
      </c>
      <c r="E401" s="53" t="s">
        <v>494</v>
      </c>
      <c r="F401" s="53">
        <v>0.57999999999999996</v>
      </c>
    </row>
    <row r="402" spans="1:6">
      <c r="A402" s="52">
        <v>40487</v>
      </c>
      <c r="B402" s="53" t="s">
        <v>510</v>
      </c>
      <c r="C402" s="53" t="s">
        <v>503</v>
      </c>
      <c r="D402" s="53" t="s">
        <v>504</v>
      </c>
      <c r="E402" s="53" t="s">
        <v>494</v>
      </c>
      <c r="F402" s="53">
        <v>0.81</v>
      </c>
    </row>
    <row r="403" spans="1:6">
      <c r="A403" s="52">
        <v>40487</v>
      </c>
      <c r="B403" s="53" t="s">
        <v>510</v>
      </c>
      <c r="C403" s="53" t="s">
        <v>503</v>
      </c>
      <c r="D403" s="53" t="s">
        <v>505</v>
      </c>
      <c r="E403" s="53" t="s">
        <v>494</v>
      </c>
      <c r="F403" s="53">
        <v>0.81</v>
      </c>
    </row>
    <row r="404" spans="1:6">
      <c r="A404" s="52">
        <v>40487</v>
      </c>
      <c r="B404" s="53" t="s">
        <v>510</v>
      </c>
      <c r="C404" s="53" t="s">
        <v>506</v>
      </c>
      <c r="D404" s="53" t="s">
        <v>504</v>
      </c>
      <c r="E404" s="53" t="s">
        <v>494</v>
      </c>
      <c r="F404" s="53">
        <v>0.81</v>
      </c>
    </row>
    <row r="405" spans="1:6">
      <c r="A405" s="52">
        <v>40487</v>
      </c>
      <c r="B405" s="53" t="s">
        <v>510</v>
      </c>
      <c r="C405" s="53" t="s">
        <v>506</v>
      </c>
      <c r="D405" s="53" t="s">
        <v>505</v>
      </c>
      <c r="E405" s="53" t="s">
        <v>494</v>
      </c>
      <c r="F405" s="53">
        <v>0.81</v>
      </c>
    </row>
    <row r="406" spans="1:6">
      <c r="A406" s="52">
        <v>40487</v>
      </c>
      <c r="B406" s="53" t="s">
        <v>511</v>
      </c>
      <c r="C406" s="53" t="s">
        <v>503</v>
      </c>
      <c r="D406" s="53" t="s">
        <v>504</v>
      </c>
      <c r="E406" s="53" t="s">
        <v>494</v>
      </c>
      <c r="F406" s="53">
        <v>1.1599999999999999</v>
      </c>
    </row>
    <row r="407" spans="1:6">
      <c r="A407" s="52">
        <v>40487</v>
      </c>
      <c r="B407" s="53" t="s">
        <v>511</v>
      </c>
      <c r="C407" s="53" t="s">
        <v>503</v>
      </c>
      <c r="D407" s="53" t="s">
        <v>505</v>
      </c>
      <c r="E407" s="53" t="s">
        <v>494</v>
      </c>
      <c r="F407" s="53">
        <v>1.1599999999999999</v>
      </c>
    </row>
    <row r="408" spans="1:6">
      <c r="A408" s="52">
        <v>40487</v>
      </c>
      <c r="B408" s="53" t="s">
        <v>511</v>
      </c>
      <c r="C408" s="53" t="s">
        <v>506</v>
      </c>
      <c r="D408" s="53" t="s">
        <v>504</v>
      </c>
      <c r="E408" s="53" t="s">
        <v>494</v>
      </c>
      <c r="F408" s="53">
        <v>1.1599999999999999</v>
      </c>
    </row>
    <row r="409" spans="1:6">
      <c r="A409" s="52">
        <v>40487</v>
      </c>
      <c r="B409" s="53" t="s">
        <v>511</v>
      </c>
      <c r="C409" s="53" t="s">
        <v>506</v>
      </c>
      <c r="D409" s="53" t="s">
        <v>505</v>
      </c>
      <c r="E409" s="53" t="s">
        <v>494</v>
      </c>
      <c r="F409" s="53">
        <v>1.1599999999999999</v>
      </c>
    </row>
    <row r="410" spans="1:6">
      <c r="A410" s="52">
        <v>40487</v>
      </c>
      <c r="B410" s="53" t="s">
        <v>502</v>
      </c>
      <c r="C410" s="53" t="s">
        <v>503</v>
      </c>
      <c r="D410" s="53" t="s">
        <v>504</v>
      </c>
      <c r="E410" s="53" t="s">
        <v>493</v>
      </c>
      <c r="F410" s="53">
        <v>0.36</v>
      </c>
    </row>
    <row r="411" spans="1:6">
      <c r="A411" s="52">
        <v>40487</v>
      </c>
      <c r="B411" s="53" t="s">
        <v>502</v>
      </c>
      <c r="C411" s="53" t="s">
        <v>506</v>
      </c>
      <c r="D411" s="53" t="s">
        <v>504</v>
      </c>
      <c r="E411" s="53" t="s">
        <v>493</v>
      </c>
      <c r="F411" s="53">
        <v>0.49</v>
      </c>
    </row>
    <row r="412" spans="1:6">
      <c r="A412" s="52">
        <v>40487</v>
      </c>
      <c r="B412" s="53" t="s">
        <v>502</v>
      </c>
      <c r="C412" s="53" t="s">
        <v>503</v>
      </c>
      <c r="D412" s="53" t="s">
        <v>505</v>
      </c>
      <c r="E412" s="53" t="s">
        <v>493</v>
      </c>
      <c r="F412" s="53">
        <v>0.36</v>
      </c>
    </row>
    <row r="413" spans="1:6">
      <c r="A413" s="52">
        <v>40487</v>
      </c>
      <c r="B413" s="53" t="s">
        <v>502</v>
      </c>
      <c r="C413" s="53" t="s">
        <v>506</v>
      </c>
      <c r="D413" s="53" t="s">
        <v>505</v>
      </c>
      <c r="E413" s="53" t="s">
        <v>493</v>
      </c>
      <c r="F413" s="53">
        <v>0.49</v>
      </c>
    </row>
    <row r="414" spans="1:6">
      <c r="A414" s="52">
        <v>40487</v>
      </c>
      <c r="B414" s="53" t="s">
        <v>507</v>
      </c>
      <c r="C414" s="53" t="s">
        <v>503</v>
      </c>
      <c r="D414" s="53" t="s">
        <v>504</v>
      </c>
      <c r="E414" s="53" t="s">
        <v>493</v>
      </c>
      <c r="F414" s="53">
        <v>0.2</v>
      </c>
    </row>
    <row r="415" spans="1:6">
      <c r="A415" s="52">
        <v>40487</v>
      </c>
      <c r="B415" s="53" t="s">
        <v>507</v>
      </c>
      <c r="C415" s="53" t="s">
        <v>506</v>
      </c>
      <c r="D415" s="53" t="s">
        <v>504</v>
      </c>
      <c r="E415" s="53" t="s">
        <v>493</v>
      </c>
      <c r="F415" s="53">
        <v>0.28999999999999998</v>
      </c>
    </row>
    <row r="416" spans="1:6">
      <c r="A416" s="52">
        <v>40487</v>
      </c>
      <c r="B416" s="53" t="s">
        <v>507</v>
      </c>
      <c r="C416" s="53" t="s">
        <v>503</v>
      </c>
      <c r="D416" s="53" t="s">
        <v>505</v>
      </c>
      <c r="E416" s="53" t="s">
        <v>493</v>
      </c>
      <c r="F416" s="53">
        <v>0.2</v>
      </c>
    </row>
    <row r="417" spans="1:6">
      <c r="A417" s="52">
        <v>40487</v>
      </c>
      <c r="B417" s="53" t="s">
        <v>507</v>
      </c>
      <c r="C417" s="53" t="s">
        <v>506</v>
      </c>
      <c r="D417" s="53" t="s">
        <v>505</v>
      </c>
      <c r="E417" s="53" t="s">
        <v>493</v>
      </c>
      <c r="F417" s="53">
        <v>0.28999999999999998</v>
      </c>
    </row>
    <row r="418" spans="1:6">
      <c r="A418" s="52">
        <v>40487</v>
      </c>
      <c r="B418" s="53" t="s">
        <v>508</v>
      </c>
      <c r="C418" s="53" t="s">
        <v>503</v>
      </c>
      <c r="D418" s="53" t="s">
        <v>504</v>
      </c>
      <c r="E418" s="53" t="s">
        <v>493</v>
      </c>
      <c r="F418" s="53">
        <v>0.3</v>
      </c>
    </row>
    <row r="419" spans="1:6">
      <c r="A419" s="52">
        <v>40487</v>
      </c>
      <c r="B419" s="53" t="s">
        <v>509</v>
      </c>
      <c r="C419" s="53" t="s">
        <v>503</v>
      </c>
      <c r="D419" s="53" t="s">
        <v>504</v>
      </c>
      <c r="E419" s="53" t="s">
        <v>493</v>
      </c>
      <c r="F419" s="53">
        <v>0.41</v>
      </c>
    </row>
    <row r="420" spans="1:6">
      <c r="A420" s="52">
        <v>40487</v>
      </c>
      <c r="B420" s="53" t="s">
        <v>508</v>
      </c>
      <c r="C420" s="53" t="s">
        <v>506</v>
      </c>
      <c r="D420" s="53" t="s">
        <v>504</v>
      </c>
      <c r="E420" s="53" t="s">
        <v>493</v>
      </c>
      <c r="F420" s="53">
        <v>0.43</v>
      </c>
    </row>
    <row r="421" spans="1:6">
      <c r="A421" s="52">
        <v>40487</v>
      </c>
      <c r="B421" s="53" t="s">
        <v>509</v>
      </c>
      <c r="C421" s="53" t="s">
        <v>506</v>
      </c>
      <c r="D421" s="53" t="s">
        <v>504</v>
      </c>
      <c r="E421" s="53" t="s">
        <v>493</v>
      </c>
      <c r="F421" s="53">
        <v>0.57999999999999996</v>
      </c>
    </row>
    <row r="422" spans="1:6">
      <c r="A422" s="52">
        <v>40487</v>
      </c>
      <c r="B422" s="53" t="s">
        <v>508</v>
      </c>
      <c r="C422" s="53" t="s">
        <v>503</v>
      </c>
      <c r="D422" s="53" t="s">
        <v>505</v>
      </c>
      <c r="E422" s="53" t="s">
        <v>493</v>
      </c>
      <c r="F422" s="53">
        <v>0.3</v>
      </c>
    </row>
    <row r="423" spans="1:6">
      <c r="A423" s="52">
        <v>40487</v>
      </c>
      <c r="B423" s="53" t="s">
        <v>509</v>
      </c>
      <c r="C423" s="53" t="s">
        <v>503</v>
      </c>
      <c r="D423" s="53" t="s">
        <v>505</v>
      </c>
      <c r="E423" s="53" t="s">
        <v>493</v>
      </c>
      <c r="F423" s="53">
        <v>0.41</v>
      </c>
    </row>
    <row r="424" spans="1:6">
      <c r="A424" s="52">
        <v>40487</v>
      </c>
      <c r="B424" s="53" t="s">
        <v>508</v>
      </c>
      <c r="C424" s="53" t="s">
        <v>506</v>
      </c>
      <c r="D424" s="53" t="s">
        <v>505</v>
      </c>
      <c r="E424" s="53" t="s">
        <v>493</v>
      </c>
      <c r="F424" s="53">
        <v>0.43</v>
      </c>
    </row>
    <row r="425" spans="1:6">
      <c r="A425" s="52">
        <v>40487</v>
      </c>
      <c r="B425" s="53" t="s">
        <v>509</v>
      </c>
      <c r="C425" s="53" t="s">
        <v>506</v>
      </c>
      <c r="D425" s="53" t="s">
        <v>505</v>
      </c>
      <c r="E425" s="53" t="s">
        <v>493</v>
      </c>
      <c r="F425" s="53">
        <v>0.57999999999999996</v>
      </c>
    </row>
    <row r="426" spans="1:6">
      <c r="A426" s="52">
        <v>40487</v>
      </c>
      <c r="B426" s="53" t="s">
        <v>510</v>
      </c>
      <c r="C426" s="53" t="s">
        <v>503</v>
      </c>
      <c r="D426" s="53" t="s">
        <v>504</v>
      </c>
      <c r="E426" s="53" t="s">
        <v>493</v>
      </c>
      <c r="F426" s="53">
        <v>0.81</v>
      </c>
    </row>
    <row r="427" spans="1:6">
      <c r="A427" s="52">
        <v>40487</v>
      </c>
      <c r="B427" s="53" t="s">
        <v>510</v>
      </c>
      <c r="C427" s="53" t="s">
        <v>503</v>
      </c>
      <c r="D427" s="53" t="s">
        <v>505</v>
      </c>
      <c r="E427" s="53" t="s">
        <v>493</v>
      </c>
      <c r="F427" s="53">
        <v>0.81</v>
      </c>
    </row>
    <row r="428" spans="1:6">
      <c r="A428" s="52">
        <v>40487</v>
      </c>
      <c r="B428" s="53" t="s">
        <v>510</v>
      </c>
      <c r="C428" s="53" t="s">
        <v>506</v>
      </c>
      <c r="D428" s="53" t="s">
        <v>504</v>
      </c>
      <c r="E428" s="53" t="s">
        <v>493</v>
      </c>
      <c r="F428" s="53">
        <v>0.81</v>
      </c>
    </row>
    <row r="429" spans="1:6">
      <c r="A429" s="52">
        <v>40487</v>
      </c>
      <c r="B429" s="53" t="s">
        <v>510</v>
      </c>
      <c r="C429" s="53" t="s">
        <v>506</v>
      </c>
      <c r="D429" s="53" t="s">
        <v>505</v>
      </c>
      <c r="E429" s="53" t="s">
        <v>493</v>
      </c>
      <c r="F429" s="53">
        <v>0.81</v>
      </c>
    </row>
    <row r="430" spans="1:6">
      <c r="A430" s="52">
        <v>40487</v>
      </c>
      <c r="B430" s="53" t="s">
        <v>511</v>
      </c>
      <c r="C430" s="53" t="s">
        <v>503</v>
      </c>
      <c r="D430" s="53" t="s">
        <v>504</v>
      </c>
      <c r="E430" s="53" t="s">
        <v>493</v>
      </c>
      <c r="F430" s="53">
        <v>1.1599999999999999</v>
      </c>
    </row>
    <row r="431" spans="1:6">
      <c r="A431" s="52">
        <v>40487</v>
      </c>
      <c r="B431" s="53" t="s">
        <v>511</v>
      </c>
      <c r="C431" s="53" t="s">
        <v>503</v>
      </c>
      <c r="D431" s="53" t="s">
        <v>505</v>
      </c>
      <c r="E431" s="53" t="s">
        <v>493</v>
      </c>
      <c r="F431" s="53">
        <v>1.1599999999999999</v>
      </c>
    </row>
    <row r="432" spans="1:6">
      <c r="A432" s="52">
        <v>40487</v>
      </c>
      <c r="B432" s="53" t="s">
        <v>511</v>
      </c>
      <c r="C432" s="53" t="s">
        <v>506</v>
      </c>
      <c r="D432" s="53" t="s">
        <v>504</v>
      </c>
      <c r="E432" s="53" t="s">
        <v>493</v>
      </c>
      <c r="F432" s="53">
        <v>1.1599999999999999</v>
      </c>
    </row>
    <row r="433" spans="1:6">
      <c r="A433" s="52">
        <v>40487</v>
      </c>
      <c r="B433" s="53" t="s">
        <v>511</v>
      </c>
      <c r="C433" s="53" t="s">
        <v>506</v>
      </c>
      <c r="D433" s="53" t="s">
        <v>505</v>
      </c>
      <c r="E433" s="53" t="s">
        <v>493</v>
      </c>
      <c r="F433" s="53">
        <v>1.1599999999999999</v>
      </c>
    </row>
    <row r="434" spans="1:6">
      <c r="A434" s="52">
        <v>40487</v>
      </c>
      <c r="B434" s="53" t="s">
        <v>502</v>
      </c>
      <c r="C434" s="53" t="s">
        <v>503</v>
      </c>
      <c r="D434" s="53" t="s">
        <v>504</v>
      </c>
      <c r="E434" s="53" t="s">
        <v>495</v>
      </c>
      <c r="F434" s="53">
        <v>0.45</v>
      </c>
    </row>
    <row r="435" spans="1:6">
      <c r="A435" s="52">
        <v>40487</v>
      </c>
      <c r="B435" s="53" t="s">
        <v>502</v>
      </c>
      <c r="C435" s="53" t="s">
        <v>506</v>
      </c>
      <c r="D435" s="53" t="s">
        <v>504</v>
      </c>
      <c r="E435" s="53" t="s">
        <v>495</v>
      </c>
      <c r="F435" s="53">
        <v>0.63</v>
      </c>
    </row>
    <row r="436" spans="1:6">
      <c r="A436" s="52">
        <v>40487</v>
      </c>
      <c r="B436" s="53" t="s">
        <v>502</v>
      </c>
      <c r="C436" s="53" t="s">
        <v>503</v>
      </c>
      <c r="D436" s="53" t="s">
        <v>505</v>
      </c>
      <c r="E436" s="53" t="s">
        <v>495</v>
      </c>
      <c r="F436" s="53">
        <v>0.45</v>
      </c>
    </row>
    <row r="437" spans="1:6">
      <c r="A437" s="52">
        <v>40487</v>
      </c>
      <c r="B437" s="53" t="s">
        <v>502</v>
      </c>
      <c r="C437" s="53" t="s">
        <v>506</v>
      </c>
      <c r="D437" s="53" t="s">
        <v>505</v>
      </c>
      <c r="E437" s="53" t="s">
        <v>495</v>
      </c>
      <c r="F437" s="53">
        <v>0.63</v>
      </c>
    </row>
    <row r="438" spans="1:6">
      <c r="A438" s="52">
        <v>40487</v>
      </c>
      <c r="B438" s="53" t="s">
        <v>507</v>
      </c>
      <c r="C438" s="53" t="s">
        <v>503</v>
      </c>
      <c r="D438" s="53" t="s">
        <v>504</v>
      </c>
      <c r="E438" s="53" t="s">
        <v>495</v>
      </c>
      <c r="F438" s="53">
        <v>0.24</v>
      </c>
    </row>
    <row r="439" spans="1:6">
      <c r="A439" s="52">
        <v>40487</v>
      </c>
      <c r="B439" s="53" t="s">
        <v>507</v>
      </c>
      <c r="C439" s="53" t="s">
        <v>506</v>
      </c>
      <c r="D439" s="53" t="s">
        <v>504</v>
      </c>
      <c r="E439" s="53" t="s">
        <v>495</v>
      </c>
      <c r="F439" s="53">
        <v>0.34</v>
      </c>
    </row>
    <row r="440" spans="1:6">
      <c r="A440" s="52">
        <v>40487</v>
      </c>
      <c r="B440" s="53" t="s">
        <v>507</v>
      </c>
      <c r="C440" s="53" t="s">
        <v>503</v>
      </c>
      <c r="D440" s="53" t="s">
        <v>505</v>
      </c>
      <c r="E440" s="53" t="s">
        <v>495</v>
      </c>
      <c r="F440" s="53">
        <v>0.24</v>
      </c>
    </row>
    <row r="441" spans="1:6">
      <c r="A441" s="52">
        <v>40487</v>
      </c>
      <c r="B441" s="53" t="s">
        <v>507</v>
      </c>
      <c r="C441" s="53" t="s">
        <v>506</v>
      </c>
      <c r="D441" s="53" t="s">
        <v>505</v>
      </c>
      <c r="E441" s="53" t="s">
        <v>495</v>
      </c>
      <c r="F441" s="53">
        <v>0.34</v>
      </c>
    </row>
    <row r="442" spans="1:6">
      <c r="A442" s="52">
        <v>40487</v>
      </c>
      <c r="B442" s="53" t="s">
        <v>508</v>
      </c>
      <c r="C442" s="53" t="s">
        <v>503</v>
      </c>
      <c r="D442" s="53" t="s">
        <v>504</v>
      </c>
      <c r="E442" s="53" t="s">
        <v>495</v>
      </c>
      <c r="F442" s="53">
        <v>0.35</v>
      </c>
    </row>
    <row r="443" spans="1:6">
      <c r="A443" s="52">
        <v>40487</v>
      </c>
      <c r="B443" s="53" t="s">
        <v>509</v>
      </c>
      <c r="C443" s="53" t="s">
        <v>503</v>
      </c>
      <c r="D443" s="53" t="s">
        <v>504</v>
      </c>
      <c r="E443" s="53" t="s">
        <v>495</v>
      </c>
      <c r="F443" s="53">
        <v>0.41</v>
      </c>
    </row>
    <row r="444" spans="1:6">
      <c r="A444" s="52">
        <v>40487</v>
      </c>
      <c r="B444" s="53" t="s">
        <v>508</v>
      </c>
      <c r="C444" s="53" t="s">
        <v>506</v>
      </c>
      <c r="D444" s="53" t="s">
        <v>504</v>
      </c>
      <c r="E444" s="53" t="s">
        <v>495</v>
      </c>
      <c r="F444" s="53">
        <v>0.5</v>
      </c>
    </row>
    <row r="445" spans="1:6">
      <c r="A445" s="52">
        <v>40487</v>
      </c>
      <c r="B445" s="53" t="s">
        <v>509</v>
      </c>
      <c r="C445" s="53" t="s">
        <v>506</v>
      </c>
      <c r="D445" s="53" t="s">
        <v>504</v>
      </c>
      <c r="E445" s="53" t="s">
        <v>495</v>
      </c>
      <c r="F445" s="53">
        <v>0.57999999999999996</v>
      </c>
    </row>
    <row r="446" spans="1:6">
      <c r="A446" s="52">
        <v>40487</v>
      </c>
      <c r="B446" s="53" t="s">
        <v>508</v>
      </c>
      <c r="C446" s="53" t="s">
        <v>503</v>
      </c>
      <c r="D446" s="53" t="s">
        <v>505</v>
      </c>
      <c r="E446" s="53" t="s">
        <v>495</v>
      </c>
      <c r="F446" s="53">
        <v>0.35</v>
      </c>
    </row>
    <row r="447" spans="1:6">
      <c r="A447" s="52">
        <v>40487</v>
      </c>
      <c r="B447" s="53" t="s">
        <v>509</v>
      </c>
      <c r="C447" s="53" t="s">
        <v>503</v>
      </c>
      <c r="D447" s="53" t="s">
        <v>505</v>
      </c>
      <c r="E447" s="53" t="s">
        <v>495</v>
      </c>
      <c r="F447" s="53">
        <v>0.41</v>
      </c>
    </row>
    <row r="448" spans="1:6">
      <c r="A448" s="52">
        <v>40487</v>
      </c>
      <c r="B448" s="53" t="s">
        <v>508</v>
      </c>
      <c r="C448" s="53" t="s">
        <v>506</v>
      </c>
      <c r="D448" s="53" t="s">
        <v>505</v>
      </c>
      <c r="E448" s="53" t="s">
        <v>495</v>
      </c>
      <c r="F448" s="53">
        <v>0.5</v>
      </c>
    </row>
    <row r="449" spans="1:6">
      <c r="A449" s="52">
        <v>40487</v>
      </c>
      <c r="B449" s="53" t="s">
        <v>509</v>
      </c>
      <c r="C449" s="53" t="s">
        <v>506</v>
      </c>
      <c r="D449" s="53" t="s">
        <v>505</v>
      </c>
      <c r="E449" s="53" t="s">
        <v>495</v>
      </c>
      <c r="F449" s="53">
        <v>0.57999999999999996</v>
      </c>
    </row>
    <row r="450" spans="1:6">
      <c r="A450" s="52">
        <v>40487</v>
      </c>
      <c r="B450" s="53" t="s">
        <v>510</v>
      </c>
      <c r="C450" s="53" t="s">
        <v>503</v>
      </c>
      <c r="D450" s="53" t="s">
        <v>504</v>
      </c>
      <c r="E450" s="53" t="s">
        <v>495</v>
      </c>
      <c r="F450" s="53">
        <v>0.81</v>
      </c>
    </row>
    <row r="451" spans="1:6">
      <c r="A451" s="52">
        <v>40487</v>
      </c>
      <c r="B451" s="53" t="s">
        <v>510</v>
      </c>
      <c r="C451" s="53" t="s">
        <v>503</v>
      </c>
      <c r="D451" s="53" t="s">
        <v>505</v>
      </c>
      <c r="E451" s="53" t="s">
        <v>495</v>
      </c>
      <c r="F451" s="53">
        <v>0.81</v>
      </c>
    </row>
    <row r="452" spans="1:6">
      <c r="A452" s="52">
        <v>40487</v>
      </c>
      <c r="B452" s="53" t="s">
        <v>510</v>
      </c>
      <c r="C452" s="53" t="s">
        <v>506</v>
      </c>
      <c r="D452" s="53" t="s">
        <v>504</v>
      </c>
      <c r="E452" s="53" t="s">
        <v>495</v>
      </c>
      <c r="F452" s="53">
        <v>0.81</v>
      </c>
    </row>
    <row r="453" spans="1:6">
      <c r="A453" s="52">
        <v>40487</v>
      </c>
      <c r="B453" s="53" t="s">
        <v>510</v>
      </c>
      <c r="C453" s="53" t="s">
        <v>506</v>
      </c>
      <c r="D453" s="53" t="s">
        <v>505</v>
      </c>
      <c r="E453" s="53" t="s">
        <v>495</v>
      </c>
      <c r="F453" s="53">
        <v>0.81</v>
      </c>
    </row>
    <row r="454" spans="1:6">
      <c r="A454" s="52">
        <v>40487</v>
      </c>
      <c r="B454" s="53" t="s">
        <v>511</v>
      </c>
      <c r="C454" s="53" t="s">
        <v>503</v>
      </c>
      <c r="D454" s="53" t="s">
        <v>504</v>
      </c>
      <c r="E454" s="53" t="s">
        <v>495</v>
      </c>
      <c r="F454" s="53">
        <v>1.1599999999999999</v>
      </c>
    </row>
    <row r="455" spans="1:6">
      <c r="A455" s="52">
        <v>40487</v>
      </c>
      <c r="B455" s="53" t="s">
        <v>511</v>
      </c>
      <c r="C455" s="53" t="s">
        <v>503</v>
      </c>
      <c r="D455" s="53" t="s">
        <v>505</v>
      </c>
      <c r="E455" s="53" t="s">
        <v>495</v>
      </c>
      <c r="F455" s="53">
        <v>1.1599999999999999</v>
      </c>
    </row>
    <row r="456" spans="1:6">
      <c r="A456" s="52">
        <v>40487</v>
      </c>
      <c r="B456" s="53" t="s">
        <v>511</v>
      </c>
      <c r="C456" s="53" t="s">
        <v>506</v>
      </c>
      <c r="D456" s="53" t="s">
        <v>504</v>
      </c>
      <c r="E456" s="53" t="s">
        <v>495</v>
      </c>
      <c r="F456" s="53">
        <v>1.1599999999999999</v>
      </c>
    </row>
    <row r="457" spans="1:6">
      <c r="A457" s="52">
        <v>40487</v>
      </c>
      <c r="B457" s="53" t="s">
        <v>511</v>
      </c>
      <c r="C457" s="53" t="s">
        <v>506</v>
      </c>
      <c r="D457" s="53" t="s">
        <v>505</v>
      </c>
      <c r="E457" s="53" t="s">
        <v>495</v>
      </c>
      <c r="F457" s="53">
        <v>1.1599999999999999</v>
      </c>
    </row>
    <row r="458" spans="1:6">
      <c r="A458" s="52">
        <v>40487</v>
      </c>
      <c r="B458" s="53" t="s">
        <v>502</v>
      </c>
      <c r="C458" s="53" t="s">
        <v>503</v>
      </c>
      <c r="D458" s="53" t="s">
        <v>504</v>
      </c>
      <c r="E458" s="53" t="s">
        <v>496</v>
      </c>
      <c r="F458" s="53">
        <v>0.57999999999999996</v>
      </c>
    </row>
    <row r="459" spans="1:6">
      <c r="A459" s="52">
        <v>40487</v>
      </c>
      <c r="B459" s="53" t="s">
        <v>502</v>
      </c>
      <c r="C459" s="53" t="s">
        <v>506</v>
      </c>
      <c r="D459" s="53" t="s">
        <v>504</v>
      </c>
      <c r="E459" s="53" t="s">
        <v>496</v>
      </c>
      <c r="F459" s="53">
        <v>0.85</v>
      </c>
    </row>
    <row r="460" spans="1:6">
      <c r="A460" s="52">
        <v>40487</v>
      </c>
      <c r="B460" s="53" t="s">
        <v>502</v>
      </c>
      <c r="C460" s="53" t="s">
        <v>503</v>
      </c>
      <c r="D460" s="53" t="s">
        <v>505</v>
      </c>
      <c r="E460" s="53" t="s">
        <v>496</v>
      </c>
      <c r="F460" s="53">
        <v>0.57999999999999996</v>
      </c>
    </row>
    <row r="461" spans="1:6">
      <c r="A461" s="52">
        <v>40487</v>
      </c>
      <c r="B461" s="53" t="s">
        <v>502</v>
      </c>
      <c r="C461" s="53" t="s">
        <v>506</v>
      </c>
      <c r="D461" s="53" t="s">
        <v>505</v>
      </c>
      <c r="E461" s="53" t="s">
        <v>496</v>
      </c>
      <c r="F461" s="53">
        <v>0.85</v>
      </c>
    </row>
    <row r="462" spans="1:6">
      <c r="A462" s="52">
        <v>40487</v>
      </c>
      <c r="B462" s="53" t="s">
        <v>507</v>
      </c>
      <c r="C462" s="53" t="s">
        <v>503</v>
      </c>
      <c r="D462" s="53" t="s">
        <v>504</v>
      </c>
      <c r="E462" s="53" t="s">
        <v>496</v>
      </c>
      <c r="F462" s="53">
        <v>0.28999999999999998</v>
      </c>
    </row>
    <row r="463" spans="1:6">
      <c r="A463" s="52">
        <v>40487</v>
      </c>
      <c r="B463" s="53" t="s">
        <v>507</v>
      </c>
      <c r="C463" s="53" t="s">
        <v>506</v>
      </c>
      <c r="D463" s="53" t="s">
        <v>504</v>
      </c>
      <c r="E463" s="53" t="s">
        <v>496</v>
      </c>
      <c r="F463" s="53">
        <v>0.41</v>
      </c>
    </row>
    <row r="464" spans="1:6">
      <c r="A464" s="52">
        <v>40487</v>
      </c>
      <c r="B464" s="53" t="s">
        <v>507</v>
      </c>
      <c r="C464" s="53" t="s">
        <v>503</v>
      </c>
      <c r="D464" s="53" t="s">
        <v>505</v>
      </c>
      <c r="E464" s="53" t="s">
        <v>496</v>
      </c>
      <c r="F464" s="53">
        <v>0.28999999999999998</v>
      </c>
    </row>
    <row r="465" spans="1:6">
      <c r="A465" s="52">
        <v>40487</v>
      </c>
      <c r="B465" s="53" t="s">
        <v>507</v>
      </c>
      <c r="C465" s="53" t="s">
        <v>506</v>
      </c>
      <c r="D465" s="53" t="s">
        <v>505</v>
      </c>
      <c r="E465" s="53" t="s">
        <v>496</v>
      </c>
      <c r="F465" s="53">
        <v>0.41</v>
      </c>
    </row>
    <row r="466" spans="1:6">
      <c r="A466" s="52">
        <v>40487</v>
      </c>
      <c r="B466" s="53" t="s">
        <v>508</v>
      </c>
      <c r="C466" s="53" t="s">
        <v>503</v>
      </c>
      <c r="D466" s="53" t="s">
        <v>504</v>
      </c>
      <c r="E466" s="53" t="s">
        <v>496</v>
      </c>
      <c r="F466" s="53">
        <v>0.35</v>
      </c>
    </row>
    <row r="467" spans="1:6">
      <c r="A467" s="52">
        <v>40487</v>
      </c>
      <c r="B467" s="53" t="s">
        <v>509</v>
      </c>
      <c r="C467" s="53" t="s">
        <v>503</v>
      </c>
      <c r="D467" s="53" t="s">
        <v>504</v>
      </c>
      <c r="E467" s="53" t="s">
        <v>496</v>
      </c>
      <c r="F467" s="53">
        <v>0.41</v>
      </c>
    </row>
    <row r="468" spans="1:6">
      <c r="A468" s="52">
        <v>40487</v>
      </c>
      <c r="B468" s="53" t="s">
        <v>508</v>
      </c>
      <c r="C468" s="53" t="s">
        <v>506</v>
      </c>
      <c r="D468" s="53" t="s">
        <v>504</v>
      </c>
      <c r="E468" s="53" t="s">
        <v>496</v>
      </c>
      <c r="F468" s="53">
        <v>0.5</v>
      </c>
    </row>
    <row r="469" spans="1:6">
      <c r="A469" s="52">
        <v>40487</v>
      </c>
      <c r="B469" s="53" t="s">
        <v>509</v>
      </c>
      <c r="C469" s="53" t="s">
        <v>506</v>
      </c>
      <c r="D469" s="53" t="s">
        <v>504</v>
      </c>
      <c r="E469" s="53" t="s">
        <v>496</v>
      </c>
      <c r="F469" s="53">
        <v>0.57999999999999996</v>
      </c>
    </row>
    <row r="470" spans="1:6">
      <c r="A470" s="52">
        <v>40487</v>
      </c>
      <c r="B470" s="53" t="s">
        <v>508</v>
      </c>
      <c r="C470" s="53" t="s">
        <v>503</v>
      </c>
      <c r="D470" s="53" t="s">
        <v>505</v>
      </c>
      <c r="E470" s="53" t="s">
        <v>496</v>
      </c>
      <c r="F470" s="53">
        <v>0.35</v>
      </c>
    </row>
    <row r="471" spans="1:6">
      <c r="A471" s="52">
        <v>40487</v>
      </c>
      <c r="B471" s="53" t="s">
        <v>509</v>
      </c>
      <c r="C471" s="53" t="s">
        <v>503</v>
      </c>
      <c r="D471" s="53" t="s">
        <v>505</v>
      </c>
      <c r="E471" s="53" t="s">
        <v>496</v>
      </c>
      <c r="F471" s="53">
        <v>0.41</v>
      </c>
    </row>
    <row r="472" spans="1:6">
      <c r="A472" s="52">
        <v>40487</v>
      </c>
      <c r="B472" s="53" t="s">
        <v>508</v>
      </c>
      <c r="C472" s="53" t="s">
        <v>506</v>
      </c>
      <c r="D472" s="53" t="s">
        <v>505</v>
      </c>
      <c r="E472" s="53" t="s">
        <v>496</v>
      </c>
      <c r="F472" s="53">
        <v>0.5</v>
      </c>
    </row>
    <row r="473" spans="1:6">
      <c r="A473" s="52">
        <v>40487</v>
      </c>
      <c r="B473" s="53" t="s">
        <v>509</v>
      </c>
      <c r="C473" s="53" t="s">
        <v>506</v>
      </c>
      <c r="D473" s="53" t="s">
        <v>505</v>
      </c>
      <c r="E473" s="53" t="s">
        <v>496</v>
      </c>
      <c r="F473" s="53">
        <v>0.57999999999999996</v>
      </c>
    </row>
    <row r="474" spans="1:6">
      <c r="A474" s="52">
        <v>40487</v>
      </c>
      <c r="B474" s="53" t="s">
        <v>510</v>
      </c>
      <c r="C474" s="53" t="s">
        <v>503</v>
      </c>
      <c r="D474" s="53" t="s">
        <v>504</v>
      </c>
      <c r="E474" s="53" t="s">
        <v>496</v>
      </c>
      <c r="F474" s="53">
        <v>0.81</v>
      </c>
    </row>
    <row r="475" spans="1:6">
      <c r="A475" s="52">
        <v>40487</v>
      </c>
      <c r="B475" s="53" t="s">
        <v>510</v>
      </c>
      <c r="C475" s="53" t="s">
        <v>503</v>
      </c>
      <c r="D475" s="53" t="s">
        <v>505</v>
      </c>
      <c r="E475" s="53" t="s">
        <v>496</v>
      </c>
      <c r="F475" s="53">
        <v>0.81</v>
      </c>
    </row>
    <row r="476" spans="1:6">
      <c r="A476" s="52">
        <v>40487</v>
      </c>
      <c r="B476" s="53" t="s">
        <v>510</v>
      </c>
      <c r="C476" s="53" t="s">
        <v>506</v>
      </c>
      <c r="D476" s="53" t="s">
        <v>504</v>
      </c>
      <c r="E476" s="53" t="s">
        <v>496</v>
      </c>
      <c r="F476" s="53">
        <v>0.81</v>
      </c>
    </row>
    <row r="477" spans="1:6">
      <c r="A477" s="52">
        <v>40487</v>
      </c>
      <c r="B477" s="53" t="s">
        <v>510</v>
      </c>
      <c r="C477" s="53" t="s">
        <v>506</v>
      </c>
      <c r="D477" s="53" t="s">
        <v>505</v>
      </c>
      <c r="E477" s="53" t="s">
        <v>496</v>
      </c>
      <c r="F477" s="53">
        <v>0.81</v>
      </c>
    </row>
    <row r="478" spans="1:6">
      <c r="A478" s="52">
        <v>40487</v>
      </c>
      <c r="B478" s="53" t="s">
        <v>511</v>
      </c>
      <c r="C478" s="53" t="s">
        <v>503</v>
      </c>
      <c r="D478" s="53" t="s">
        <v>504</v>
      </c>
      <c r="E478" s="53" t="s">
        <v>496</v>
      </c>
      <c r="F478" s="53">
        <v>1.1599999999999999</v>
      </c>
    </row>
    <row r="479" spans="1:6">
      <c r="A479" s="52">
        <v>40487</v>
      </c>
      <c r="B479" s="53" t="s">
        <v>511</v>
      </c>
      <c r="C479" s="53" t="s">
        <v>503</v>
      </c>
      <c r="D479" s="53" t="s">
        <v>505</v>
      </c>
      <c r="E479" s="53" t="s">
        <v>496</v>
      </c>
      <c r="F479" s="53">
        <v>1.1599999999999999</v>
      </c>
    </row>
    <row r="480" spans="1:6">
      <c r="A480" s="52">
        <v>40487</v>
      </c>
      <c r="B480" s="53" t="s">
        <v>511</v>
      </c>
      <c r="C480" s="53" t="s">
        <v>506</v>
      </c>
      <c r="D480" s="53" t="s">
        <v>504</v>
      </c>
      <c r="E480" s="53" t="s">
        <v>496</v>
      </c>
      <c r="F480" s="53">
        <v>1.1599999999999999</v>
      </c>
    </row>
    <row r="481" spans="1:6">
      <c r="A481" s="52">
        <v>40487</v>
      </c>
      <c r="B481" s="53" t="s">
        <v>511</v>
      </c>
      <c r="C481" s="53" t="s">
        <v>506</v>
      </c>
      <c r="D481" s="53" t="s">
        <v>505</v>
      </c>
      <c r="E481" s="53" t="s">
        <v>496</v>
      </c>
      <c r="F481" s="53">
        <v>1.1599999999999999</v>
      </c>
    </row>
    <row r="482" spans="1:6">
      <c r="A482" s="52">
        <v>39639</v>
      </c>
      <c r="B482" s="53" t="s">
        <v>502</v>
      </c>
      <c r="C482" s="53" t="s">
        <v>503</v>
      </c>
      <c r="D482" s="53" t="s">
        <v>504</v>
      </c>
      <c r="E482" s="53" t="s">
        <v>494</v>
      </c>
      <c r="F482" s="53">
        <v>0.47</v>
      </c>
    </row>
    <row r="483" spans="1:6">
      <c r="A483" s="52">
        <v>39639</v>
      </c>
      <c r="B483" s="53" t="s">
        <v>502</v>
      </c>
      <c r="C483" s="53" t="s">
        <v>506</v>
      </c>
      <c r="D483" s="53" t="s">
        <v>504</v>
      </c>
      <c r="E483" s="53" t="s">
        <v>494</v>
      </c>
      <c r="F483" s="53">
        <v>0.64</v>
      </c>
    </row>
    <row r="484" spans="1:6">
      <c r="A484" s="52">
        <v>39639</v>
      </c>
      <c r="B484" s="53" t="s">
        <v>502</v>
      </c>
      <c r="C484" s="53" t="s">
        <v>503</v>
      </c>
      <c r="D484" s="53" t="s">
        <v>505</v>
      </c>
      <c r="E484" s="53" t="s">
        <v>494</v>
      </c>
      <c r="F484" s="53">
        <v>0.47</v>
      </c>
    </row>
    <row r="485" spans="1:6">
      <c r="A485" s="52">
        <v>39639</v>
      </c>
      <c r="B485" s="53" t="s">
        <v>502</v>
      </c>
      <c r="C485" s="53" t="s">
        <v>506</v>
      </c>
      <c r="D485" s="53" t="s">
        <v>505</v>
      </c>
      <c r="E485" s="53" t="s">
        <v>494</v>
      </c>
      <c r="F485" s="53">
        <v>0.64</v>
      </c>
    </row>
    <row r="486" spans="1:6">
      <c r="A486" s="52">
        <v>39639</v>
      </c>
      <c r="B486" s="53" t="s">
        <v>507</v>
      </c>
      <c r="C486" s="53" t="s">
        <v>503</v>
      </c>
      <c r="D486" s="53" t="s">
        <v>504</v>
      </c>
      <c r="E486" s="53" t="s">
        <v>494</v>
      </c>
      <c r="F486" s="53">
        <v>0.28999999999999998</v>
      </c>
    </row>
    <row r="487" spans="1:6">
      <c r="A487" s="52">
        <v>39639</v>
      </c>
      <c r="B487" s="53" t="s">
        <v>507</v>
      </c>
      <c r="C487" s="53" t="s">
        <v>506</v>
      </c>
      <c r="D487" s="53" t="s">
        <v>504</v>
      </c>
      <c r="E487" s="53" t="s">
        <v>494</v>
      </c>
      <c r="F487" s="53">
        <v>0.41</v>
      </c>
    </row>
    <row r="488" spans="1:6">
      <c r="A488" s="52">
        <v>39639</v>
      </c>
      <c r="B488" s="53" t="s">
        <v>507</v>
      </c>
      <c r="C488" s="53" t="s">
        <v>503</v>
      </c>
      <c r="D488" s="53" t="s">
        <v>505</v>
      </c>
      <c r="E488" s="53" t="s">
        <v>494</v>
      </c>
      <c r="F488" s="53">
        <v>0.28999999999999998</v>
      </c>
    </row>
    <row r="489" spans="1:6">
      <c r="A489" s="52">
        <v>39639</v>
      </c>
      <c r="B489" s="53" t="s">
        <v>507</v>
      </c>
      <c r="C489" s="53" t="s">
        <v>506</v>
      </c>
      <c r="D489" s="53" t="s">
        <v>505</v>
      </c>
      <c r="E489" s="53" t="s">
        <v>494</v>
      </c>
      <c r="F489" s="53">
        <v>0.41</v>
      </c>
    </row>
    <row r="490" spans="1:6">
      <c r="A490" s="52">
        <v>39639</v>
      </c>
      <c r="B490" s="53" t="s">
        <v>508</v>
      </c>
      <c r="C490" s="53" t="s">
        <v>503</v>
      </c>
      <c r="D490" s="53" t="s">
        <v>504</v>
      </c>
      <c r="E490" s="53" t="s">
        <v>494</v>
      </c>
      <c r="F490" s="53">
        <v>0.35</v>
      </c>
    </row>
    <row r="491" spans="1:6">
      <c r="A491" s="52">
        <v>39639</v>
      </c>
      <c r="B491" s="53" t="s">
        <v>509</v>
      </c>
      <c r="C491" s="53" t="s">
        <v>503</v>
      </c>
      <c r="D491" s="53" t="s">
        <v>504</v>
      </c>
      <c r="E491" s="53" t="s">
        <v>494</v>
      </c>
      <c r="F491" s="53">
        <v>0.41</v>
      </c>
    </row>
    <row r="492" spans="1:6">
      <c r="A492" s="52">
        <v>39639</v>
      </c>
      <c r="B492" s="53" t="s">
        <v>508</v>
      </c>
      <c r="C492" s="53" t="s">
        <v>506</v>
      </c>
      <c r="D492" s="53" t="s">
        <v>504</v>
      </c>
      <c r="E492" s="53" t="s">
        <v>494</v>
      </c>
      <c r="F492" s="53">
        <v>0.52</v>
      </c>
    </row>
    <row r="493" spans="1:6">
      <c r="A493" s="52">
        <v>39639</v>
      </c>
      <c r="B493" s="53" t="s">
        <v>509</v>
      </c>
      <c r="C493" s="53" t="s">
        <v>506</v>
      </c>
      <c r="D493" s="53" t="s">
        <v>504</v>
      </c>
      <c r="E493" s="53" t="s">
        <v>494</v>
      </c>
      <c r="F493" s="53">
        <v>0.57999999999999996</v>
      </c>
    </row>
    <row r="494" spans="1:6">
      <c r="A494" s="52">
        <v>39639</v>
      </c>
      <c r="B494" s="53" t="s">
        <v>508</v>
      </c>
      <c r="C494" s="53" t="s">
        <v>503</v>
      </c>
      <c r="D494" s="53" t="s">
        <v>505</v>
      </c>
      <c r="E494" s="53" t="s">
        <v>494</v>
      </c>
      <c r="F494" s="53">
        <v>0.35</v>
      </c>
    </row>
    <row r="495" spans="1:6">
      <c r="A495" s="52">
        <v>39639</v>
      </c>
      <c r="B495" s="53" t="s">
        <v>509</v>
      </c>
      <c r="C495" s="53" t="s">
        <v>503</v>
      </c>
      <c r="D495" s="53" t="s">
        <v>505</v>
      </c>
      <c r="E495" s="53" t="s">
        <v>494</v>
      </c>
      <c r="F495" s="53">
        <v>0.41</v>
      </c>
    </row>
    <row r="496" spans="1:6">
      <c r="A496" s="52">
        <v>39639</v>
      </c>
      <c r="B496" s="53" t="s">
        <v>508</v>
      </c>
      <c r="C496" s="53" t="s">
        <v>506</v>
      </c>
      <c r="D496" s="53" t="s">
        <v>505</v>
      </c>
      <c r="E496" s="53" t="s">
        <v>494</v>
      </c>
      <c r="F496" s="53">
        <v>0.52</v>
      </c>
    </row>
    <row r="497" spans="1:6">
      <c r="A497" s="52">
        <v>39639</v>
      </c>
      <c r="B497" s="53" t="s">
        <v>509</v>
      </c>
      <c r="C497" s="53" t="s">
        <v>506</v>
      </c>
      <c r="D497" s="53" t="s">
        <v>505</v>
      </c>
      <c r="E497" s="53" t="s">
        <v>494</v>
      </c>
      <c r="F497" s="53">
        <v>0.57999999999999996</v>
      </c>
    </row>
    <row r="498" spans="1:6">
      <c r="A498" s="52">
        <v>39639</v>
      </c>
      <c r="B498" s="53" t="s">
        <v>510</v>
      </c>
      <c r="C498" s="53" t="s">
        <v>503</v>
      </c>
      <c r="D498" s="53" t="s">
        <v>504</v>
      </c>
      <c r="E498" s="53" t="s">
        <v>494</v>
      </c>
      <c r="F498" s="53">
        <v>0.81</v>
      </c>
    </row>
    <row r="499" spans="1:6">
      <c r="A499" s="52">
        <v>39639</v>
      </c>
      <c r="B499" s="53" t="s">
        <v>510</v>
      </c>
      <c r="C499" s="53" t="s">
        <v>503</v>
      </c>
      <c r="D499" s="53" t="s">
        <v>505</v>
      </c>
      <c r="E499" s="53" t="s">
        <v>494</v>
      </c>
      <c r="F499" s="53">
        <v>0.81</v>
      </c>
    </row>
    <row r="500" spans="1:6">
      <c r="A500" s="52">
        <v>39639</v>
      </c>
      <c r="B500" s="53" t="s">
        <v>510</v>
      </c>
      <c r="C500" s="53" t="s">
        <v>506</v>
      </c>
      <c r="D500" s="53" t="s">
        <v>504</v>
      </c>
      <c r="E500" s="53" t="s">
        <v>494</v>
      </c>
      <c r="F500" s="53">
        <v>0.81</v>
      </c>
    </row>
    <row r="501" spans="1:6">
      <c r="A501" s="52">
        <v>39639</v>
      </c>
      <c r="B501" s="53" t="s">
        <v>510</v>
      </c>
      <c r="C501" s="53" t="s">
        <v>506</v>
      </c>
      <c r="D501" s="53" t="s">
        <v>505</v>
      </c>
      <c r="E501" s="53" t="s">
        <v>494</v>
      </c>
      <c r="F501" s="53">
        <v>0.81</v>
      </c>
    </row>
    <row r="502" spans="1:6">
      <c r="A502" s="52">
        <v>39639</v>
      </c>
      <c r="B502" s="53" t="s">
        <v>511</v>
      </c>
      <c r="C502" s="53" t="s">
        <v>503</v>
      </c>
      <c r="D502" s="53" t="s">
        <v>504</v>
      </c>
      <c r="E502" s="53" t="s">
        <v>494</v>
      </c>
      <c r="F502" s="53">
        <v>1.1599999999999999</v>
      </c>
    </row>
    <row r="503" spans="1:6">
      <c r="A503" s="52">
        <v>39639</v>
      </c>
      <c r="B503" s="53" t="s">
        <v>511</v>
      </c>
      <c r="C503" s="53" t="s">
        <v>503</v>
      </c>
      <c r="D503" s="53" t="s">
        <v>505</v>
      </c>
      <c r="E503" s="53" t="s">
        <v>494</v>
      </c>
      <c r="F503" s="53">
        <v>1.1599999999999999</v>
      </c>
    </row>
    <row r="504" spans="1:6">
      <c r="A504" s="52">
        <v>39639</v>
      </c>
      <c r="B504" s="53" t="s">
        <v>511</v>
      </c>
      <c r="C504" s="53" t="s">
        <v>506</v>
      </c>
      <c r="D504" s="53" t="s">
        <v>504</v>
      </c>
      <c r="E504" s="53" t="s">
        <v>494</v>
      </c>
      <c r="F504" s="53">
        <v>1.1599999999999999</v>
      </c>
    </row>
    <row r="505" spans="1:6">
      <c r="A505" s="52">
        <v>39639</v>
      </c>
      <c r="B505" s="53" t="s">
        <v>511</v>
      </c>
      <c r="C505" s="53" t="s">
        <v>506</v>
      </c>
      <c r="D505" s="53" t="s">
        <v>505</v>
      </c>
      <c r="E505" s="53" t="s">
        <v>494</v>
      </c>
      <c r="F505" s="53">
        <v>1.1599999999999999</v>
      </c>
    </row>
    <row r="506" spans="1:6">
      <c r="A506" s="52">
        <v>39639</v>
      </c>
      <c r="B506" s="53" t="s">
        <v>502</v>
      </c>
      <c r="C506" s="53" t="s">
        <v>503</v>
      </c>
      <c r="D506" s="53" t="s">
        <v>504</v>
      </c>
      <c r="E506" s="53" t="s">
        <v>493</v>
      </c>
      <c r="F506" s="53">
        <v>0.47</v>
      </c>
    </row>
    <row r="507" spans="1:6">
      <c r="A507" s="52">
        <v>39639</v>
      </c>
      <c r="B507" s="53" t="s">
        <v>502</v>
      </c>
      <c r="C507" s="53" t="s">
        <v>506</v>
      </c>
      <c r="D507" s="53" t="s">
        <v>504</v>
      </c>
      <c r="E507" s="53" t="s">
        <v>493</v>
      </c>
      <c r="F507" s="53">
        <v>0.64</v>
      </c>
    </row>
    <row r="508" spans="1:6">
      <c r="A508" s="52">
        <v>39639</v>
      </c>
      <c r="B508" s="53" t="s">
        <v>502</v>
      </c>
      <c r="C508" s="53" t="s">
        <v>503</v>
      </c>
      <c r="D508" s="53" t="s">
        <v>505</v>
      </c>
      <c r="E508" s="53" t="s">
        <v>493</v>
      </c>
      <c r="F508" s="53">
        <v>0.47</v>
      </c>
    </row>
    <row r="509" spans="1:6">
      <c r="A509" s="52">
        <v>39639</v>
      </c>
      <c r="B509" s="53" t="s">
        <v>502</v>
      </c>
      <c r="C509" s="53" t="s">
        <v>506</v>
      </c>
      <c r="D509" s="53" t="s">
        <v>505</v>
      </c>
      <c r="E509" s="53" t="s">
        <v>493</v>
      </c>
      <c r="F509" s="53">
        <v>0.64</v>
      </c>
    </row>
    <row r="510" spans="1:6">
      <c r="A510" s="52">
        <v>39639</v>
      </c>
      <c r="B510" s="53" t="s">
        <v>507</v>
      </c>
      <c r="C510" s="53" t="s">
        <v>503</v>
      </c>
      <c r="D510" s="53" t="s">
        <v>504</v>
      </c>
      <c r="E510" s="53" t="s">
        <v>493</v>
      </c>
      <c r="F510" s="53">
        <v>0.28999999999999998</v>
      </c>
    </row>
    <row r="511" spans="1:6">
      <c r="A511" s="52">
        <v>39639</v>
      </c>
      <c r="B511" s="53" t="s">
        <v>507</v>
      </c>
      <c r="C511" s="53" t="s">
        <v>506</v>
      </c>
      <c r="D511" s="53" t="s">
        <v>504</v>
      </c>
      <c r="E511" s="53" t="s">
        <v>493</v>
      </c>
      <c r="F511" s="53">
        <v>0.41</v>
      </c>
    </row>
    <row r="512" spans="1:6">
      <c r="A512" s="52">
        <v>39639</v>
      </c>
      <c r="B512" s="53" t="s">
        <v>507</v>
      </c>
      <c r="C512" s="53" t="s">
        <v>503</v>
      </c>
      <c r="D512" s="53" t="s">
        <v>505</v>
      </c>
      <c r="E512" s="53" t="s">
        <v>493</v>
      </c>
      <c r="F512" s="53">
        <v>0.28999999999999998</v>
      </c>
    </row>
    <row r="513" spans="1:6">
      <c r="A513" s="52">
        <v>39639</v>
      </c>
      <c r="B513" s="53" t="s">
        <v>507</v>
      </c>
      <c r="C513" s="53" t="s">
        <v>506</v>
      </c>
      <c r="D513" s="53" t="s">
        <v>505</v>
      </c>
      <c r="E513" s="53" t="s">
        <v>493</v>
      </c>
      <c r="F513" s="53">
        <v>0.41</v>
      </c>
    </row>
    <row r="514" spans="1:6">
      <c r="A514" s="52">
        <v>39639</v>
      </c>
      <c r="B514" s="53" t="s">
        <v>508</v>
      </c>
      <c r="C514" s="53" t="s">
        <v>503</v>
      </c>
      <c r="D514" s="53" t="s">
        <v>504</v>
      </c>
      <c r="E514" s="53" t="s">
        <v>493</v>
      </c>
      <c r="F514" s="53">
        <v>0.35</v>
      </c>
    </row>
    <row r="515" spans="1:6">
      <c r="A515" s="52">
        <v>39639</v>
      </c>
      <c r="B515" s="53" t="s">
        <v>509</v>
      </c>
      <c r="C515" s="53" t="s">
        <v>503</v>
      </c>
      <c r="D515" s="53" t="s">
        <v>504</v>
      </c>
      <c r="E515" s="53" t="s">
        <v>493</v>
      </c>
      <c r="F515" s="53">
        <v>0.41</v>
      </c>
    </row>
    <row r="516" spans="1:6">
      <c r="A516" s="52">
        <v>39639</v>
      </c>
      <c r="B516" s="53" t="s">
        <v>508</v>
      </c>
      <c r="C516" s="53" t="s">
        <v>506</v>
      </c>
      <c r="D516" s="53" t="s">
        <v>504</v>
      </c>
      <c r="E516" s="53" t="s">
        <v>493</v>
      </c>
      <c r="F516" s="53">
        <v>0.52</v>
      </c>
    </row>
    <row r="517" spans="1:6">
      <c r="A517" s="52">
        <v>39639</v>
      </c>
      <c r="B517" s="53" t="s">
        <v>509</v>
      </c>
      <c r="C517" s="53" t="s">
        <v>506</v>
      </c>
      <c r="D517" s="53" t="s">
        <v>504</v>
      </c>
      <c r="E517" s="53" t="s">
        <v>493</v>
      </c>
      <c r="F517" s="53">
        <v>0.57999999999999996</v>
      </c>
    </row>
    <row r="518" spans="1:6">
      <c r="A518" s="52">
        <v>39639</v>
      </c>
      <c r="B518" s="53" t="s">
        <v>508</v>
      </c>
      <c r="C518" s="53" t="s">
        <v>503</v>
      </c>
      <c r="D518" s="53" t="s">
        <v>505</v>
      </c>
      <c r="E518" s="53" t="s">
        <v>493</v>
      </c>
      <c r="F518" s="53">
        <v>0.35</v>
      </c>
    </row>
    <row r="519" spans="1:6">
      <c r="A519" s="52">
        <v>39639</v>
      </c>
      <c r="B519" s="53" t="s">
        <v>509</v>
      </c>
      <c r="C519" s="53" t="s">
        <v>503</v>
      </c>
      <c r="D519" s="53" t="s">
        <v>505</v>
      </c>
      <c r="E519" s="53" t="s">
        <v>493</v>
      </c>
      <c r="F519" s="53">
        <v>0.41</v>
      </c>
    </row>
    <row r="520" spans="1:6">
      <c r="A520" s="52">
        <v>39639</v>
      </c>
      <c r="B520" s="53" t="s">
        <v>508</v>
      </c>
      <c r="C520" s="53" t="s">
        <v>506</v>
      </c>
      <c r="D520" s="53" t="s">
        <v>505</v>
      </c>
      <c r="E520" s="53" t="s">
        <v>493</v>
      </c>
      <c r="F520" s="53">
        <v>0.52</v>
      </c>
    </row>
    <row r="521" spans="1:6">
      <c r="A521" s="52">
        <v>39639</v>
      </c>
      <c r="B521" s="53" t="s">
        <v>509</v>
      </c>
      <c r="C521" s="53" t="s">
        <v>506</v>
      </c>
      <c r="D521" s="53" t="s">
        <v>505</v>
      </c>
      <c r="E521" s="53" t="s">
        <v>493</v>
      </c>
      <c r="F521" s="53">
        <v>0.57999999999999996</v>
      </c>
    </row>
    <row r="522" spans="1:6">
      <c r="A522" s="52">
        <v>39639</v>
      </c>
      <c r="B522" s="53" t="s">
        <v>510</v>
      </c>
      <c r="C522" s="53" t="s">
        <v>503</v>
      </c>
      <c r="D522" s="53" t="s">
        <v>504</v>
      </c>
      <c r="E522" s="53" t="s">
        <v>493</v>
      </c>
      <c r="F522" s="53">
        <v>0.81</v>
      </c>
    </row>
    <row r="523" spans="1:6">
      <c r="A523" s="52">
        <v>39639</v>
      </c>
      <c r="B523" s="53" t="s">
        <v>510</v>
      </c>
      <c r="C523" s="53" t="s">
        <v>503</v>
      </c>
      <c r="D523" s="53" t="s">
        <v>505</v>
      </c>
      <c r="E523" s="53" t="s">
        <v>493</v>
      </c>
      <c r="F523" s="53">
        <v>0.81</v>
      </c>
    </row>
    <row r="524" spans="1:6">
      <c r="A524" s="52">
        <v>39639</v>
      </c>
      <c r="B524" s="53" t="s">
        <v>510</v>
      </c>
      <c r="C524" s="53" t="s">
        <v>506</v>
      </c>
      <c r="D524" s="53" t="s">
        <v>504</v>
      </c>
      <c r="E524" s="53" t="s">
        <v>493</v>
      </c>
      <c r="F524" s="53">
        <v>0.81</v>
      </c>
    </row>
    <row r="525" spans="1:6">
      <c r="A525" s="52">
        <v>39639</v>
      </c>
      <c r="B525" s="53" t="s">
        <v>510</v>
      </c>
      <c r="C525" s="53" t="s">
        <v>506</v>
      </c>
      <c r="D525" s="53" t="s">
        <v>505</v>
      </c>
      <c r="E525" s="53" t="s">
        <v>493</v>
      </c>
      <c r="F525" s="53">
        <v>0.81</v>
      </c>
    </row>
    <row r="526" spans="1:6">
      <c r="A526" s="52">
        <v>39639</v>
      </c>
      <c r="B526" s="53" t="s">
        <v>511</v>
      </c>
      <c r="C526" s="53" t="s">
        <v>503</v>
      </c>
      <c r="D526" s="53" t="s">
        <v>504</v>
      </c>
      <c r="E526" s="53" t="s">
        <v>493</v>
      </c>
      <c r="F526" s="53">
        <v>1.1599999999999999</v>
      </c>
    </row>
    <row r="527" spans="1:6">
      <c r="A527" s="52">
        <v>39639</v>
      </c>
      <c r="B527" s="53" t="s">
        <v>511</v>
      </c>
      <c r="C527" s="53" t="s">
        <v>503</v>
      </c>
      <c r="D527" s="53" t="s">
        <v>505</v>
      </c>
      <c r="E527" s="53" t="s">
        <v>493</v>
      </c>
      <c r="F527" s="53">
        <v>1.1599999999999999</v>
      </c>
    </row>
    <row r="528" spans="1:6">
      <c r="A528" s="52">
        <v>39639</v>
      </c>
      <c r="B528" s="53" t="s">
        <v>511</v>
      </c>
      <c r="C528" s="53" t="s">
        <v>506</v>
      </c>
      <c r="D528" s="53" t="s">
        <v>504</v>
      </c>
      <c r="E528" s="53" t="s">
        <v>493</v>
      </c>
      <c r="F528" s="53">
        <v>1.1599999999999999</v>
      </c>
    </row>
    <row r="529" spans="1:6">
      <c r="A529" s="52">
        <v>39639</v>
      </c>
      <c r="B529" s="53" t="s">
        <v>511</v>
      </c>
      <c r="C529" s="53" t="s">
        <v>506</v>
      </c>
      <c r="D529" s="53" t="s">
        <v>505</v>
      </c>
      <c r="E529" s="53" t="s">
        <v>493</v>
      </c>
      <c r="F529" s="53">
        <v>1.1599999999999999</v>
      </c>
    </row>
    <row r="530" spans="1:6">
      <c r="A530" s="52">
        <v>39639</v>
      </c>
      <c r="B530" s="53" t="s">
        <v>502</v>
      </c>
      <c r="C530" s="53" t="s">
        <v>503</v>
      </c>
      <c r="D530" s="53" t="s">
        <v>504</v>
      </c>
      <c r="E530" s="53" t="s">
        <v>495</v>
      </c>
      <c r="F530" s="53">
        <v>0.57999999999999996</v>
      </c>
    </row>
    <row r="531" spans="1:6">
      <c r="A531" s="52">
        <v>39639</v>
      </c>
      <c r="B531" s="53" t="s">
        <v>502</v>
      </c>
      <c r="C531" s="53" t="s">
        <v>506</v>
      </c>
      <c r="D531" s="53" t="s">
        <v>504</v>
      </c>
      <c r="E531" s="53" t="s">
        <v>495</v>
      </c>
      <c r="F531" s="53">
        <v>0.81</v>
      </c>
    </row>
    <row r="532" spans="1:6">
      <c r="A532" s="52">
        <v>39639</v>
      </c>
      <c r="B532" s="53" t="s">
        <v>502</v>
      </c>
      <c r="C532" s="53" t="s">
        <v>503</v>
      </c>
      <c r="D532" s="53" t="s">
        <v>505</v>
      </c>
      <c r="E532" s="53" t="s">
        <v>495</v>
      </c>
      <c r="F532" s="53">
        <v>0.57999999999999996</v>
      </c>
    </row>
    <row r="533" spans="1:6">
      <c r="A533" s="52">
        <v>39639</v>
      </c>
      <c r="B533" s="53" t="s">
        <v>502</v>
      </c>
      <c r="C533" s="53" t="s">
        <v>506</v>
      </c>
      <c r="D533" s="53" t="s">
        <v>505</v>
      </c>
      <c r="E533" s="53" t="s">
        <v>495</v>
      </c>
      <c r="F533" s="53">
        <v>0.81</v>
      </c>
    </row>
    <row r="534" spans="1:6">
      <c r="A534" s="52">
        <v>39639</v>
      </c>
      <c r="B534" s="53" t="s">
        <v>507</v>
      </c>
      <c r="C534" s="53" t="s">
        <v>503</v>
      </c>
      <c r="D534" s="53" t="s">
        <v>504</v>
      </c>
      <c r="E534" s="53" t="s">
        <v>495</v>
      </c>
      <c r="F534" s="53">
        <v>0.35</v>
      </c>
    </row>
    <row r="535" spans="1:6">
      <c r="A535" s="52">
        <v>39639</v>
      </c>
      <c r="B535" s="53" t="s">
        <v>507</v>
      </c>
      <c r="C535" s="53" t="s">
        <v>506</v>
      </c>
      <c r="D535" s="53" t="s">
        <v>504</v>
      </c>
      <c r="E535" s="53" t="s">
        <v>495</v>
      </c>
      <c r="F535" s="53">
        <v>0.52</v>
      </c>
    </row>
    <row r="536" spans="1:6">
      <c r="A536" s="52">
        <v>39639</v>
      </c>
      <c r="B536" s="53" t="s">
        <v>507</v>
      </c>
      <c r="C536" s="53" t="s">
        <v>503</v>
      </c>
      <c r="D536" s="53" t="s">
        <v>505</v>
      </c>
      <c r="E536" s="53" t="s">
        <v>495</v>
      </c>
      <c r="F536" s="53">
        <v>0.35</v>
      </c>
    </row>
    <row r="537" spans="1:6">
      <c r="A537" s="52">
        <v>39639</v>
      </c>
      <c r="B537" s="53" t="s">
        <v>507</v>
      </c>
      <c r="C537" s="53" t="s">
        <v>506</v>
      </c>
      <c r="D537" s="53" t="s">
        <v>505</v>
      </c>
      <c r="E537" s="53" t="s">
        <v>495</v>
      </c>
      <c r="F537" s="53">
        <v>0.52</v>
      </c>
    </row>
    <row r="538" spans="1:6">
      <c r="A538" s="52">
        <v>39639</v>
      </c>
      <c r="B538" s="53" t="s">
        <v>508</v>
      </c>
      <c r="C538" s="53" t="s">
        <v>503</v>
      </c>
      <c r="D538" s="53" t="s">
        <v>504</v>
      </c>
      <c r="E538" s="53" t="s">
        <v>495</v>
      </c>
      <c r="F538" s="53">
        <v>0.41</v>
      </c>
    </row>
    <row r="539" spans="1:6">
      <c r="A539" s="52">
        <v>39639</v>
      </c>
      <c r="B539" s="53" t="s">
        <v>509</v>
      </c>
      <c r="C539" s="53" t="s">
        <v>503</v>
      </c>
      <c r="D539" s="53" t="s">
        <v>504</v>
      </c>
      <c r="E539" s="53" t="s">
        <v>495</v>
      </c>
      <c r="F539" s="53">
        <v>0.47</v>
      </c>
    </row>
    <row r="540" spans="1:6">
      <c r="A540" s="52">
        <v>39639</v>
      </c>
      <c r="B540" s="53" t="s">
        <v>508</v>
      </c>
      <c r="C540" s="53" t="s">
        <v>506</v>
      </c>
      <c r="D540" s="53" t="s">
        <v>504</v>
      </c>
      <c r="E540" s="53" t="s">
        <v>495</v>
      </c>
      <c r="F540" s="53">
        <v>0.57999999999999996</v>
      </c>
    </row>
    <row r="541" spans="1:6">
      <c r="A541" s="52">
        <v>39639</v>
      </c>
      <c r="B541" s="53" t="s">
        <v>509</v>
      </c>
      <c r="C541" s="53" t="s">
        <v>506</v>
      </c>
      <c r="D541" s="53" t="s">
        <v>504</v>
      </c>
      <c r="E541" s="53" t="s">
        <v>495</v>
      </c>
      <c r="F541" s="53">
        <v>0.64</v>
      </c>
    </row>
    <row r="542" spans="1:6">
      <c r="A542" s="52">
        <v>39639</v>
      </c>
      <c r="B542" s="53" t="s">
        <v>508</v>
      </c>
      <c r="C542" s="53" t="s">
        <v>503</v>
      </c>
      <c r="D542" s="53" t="s">
        <v>505</v>
      </c>
      <c r="E542" s="53" t="s">
        <v>495</v>
      </c>
      <c r="F542" s="53">
        <v>0.41</v>
      </c>
    </row>
    <row r="543" spans="1:6">
      <c r="A543" s="52">
        <v>39639</v>
      </c>
      <c r="B543" s="53" t="s">
        <v>509</v>
      </c>
      <c r="C543" s="53" t="s">
        <v>503</v>
      </c>
      <c r="D543" s="53" t="s">
        <v>505</v>
      </c>
      <c r="E543" s="53" t="s">
        <v>495</v>
      </c>
      <c r="F543" s="53">
        <v>0.47</v>
      </c>
    </row>
    <row r="544" spans="1:6">
      <c r="A544" s="52">
        <v>39639</v>
      </c>
      <c r="B544" s="53" t="s">
        <v>508</v>
      </c>
      <c r="C544" s="53" t="s">
        <v>506</v>
      </c>
      <c r="D544" s="53" t="s">
        <v>505</v>
      </c>
      <c r="E544" s="53" t="s">
        <v>495</v>
      </c>
      <c r="F544" s="53">
        <v>0.57999999999999996</v>
      </c>
    </row>
    <row r="545" spans="1:6">
      <c r="A545" s="52">
        <v>39639</v>
      </c>
      <c r="B545" s="53" t="s">
        <v>509</v>
      </c>
      <c r="C545" s="53" t="s">
        <v>506</v>
      </c>
      <c r="D545" s="53" t="s">
        <v>505</v>
      </c>
      <c r="E545" s="53" t="s">
        <v>495</v>
      </c>
      <c r="F545" s="53">
        <v>0.64</v>
      </c>
    </row>
    <row r="546" spans="1:6">
      <c r="A546" s="52">
        <v>39639</v>
      </c>
      <c r="B546" s="53" t="s">
        <v>510</v>
      </c>
      <c r="C546" s="53" t="s">
        <v>503</v>
      </c>
      <c r="D546" s="53" t="s">
        <v>504</v>
      </c>
      <c r="E546" s="53" t="s">
        <v>495</v>
      </c>
      <c r="F546" s="53">
        <v>0.81</v>
      </c>
    </row>
    <row r="547" spans="1:6">
      <c r="A547" s="52">
        <v>39639</v>
      </c>
      <c r="B547" s="53" t="s">
        <v>510</v>
      </c>
      <c r="C547" s="53" t="s">
        <v>503</v>
      </c>
      <c r="D547" s="53" t="s">
        <v>505</v>
      </c>
      <c r="E547" s="53" t="s">
        <v>495</v>
      </c>
      <c r="F547" s="53">
        <v>0.81</v>
      </c>
    </row>
    <row r="548" spans="1:6">
      <c r="A548" s="52">
        <v>39639</v>
      </c>
      <c r="B548" s="53" t="s">
        <v>510</v>
      </c>
      <c r="C548" s="53" t="s">
        <v>506</v>
      </c>
      <c r="D548" s="53" t="s">
        <v>504</v>
      </c>
      <c r="E548" s="53" t="s">
        <v>495</v>
      </c>
      <c r="F548" s="53">
        <v>0.81</v>
      </c>
    </row>
    <row r="549" spans="1:6">
      <c r="A549" s="52">
        <v>39639</v>
      </c>
      <c r="B549" s="53" t="s">
        <v>510</v>
      </c>
      <c r="C549" s="53" t="s">
        <v>506</v>
      </c>
      <c r="D549" s="53" t="s">
        <v>505</v>
      </c>
      <c r="E549" s="53" t="s">
        <v>495</v>
      </c>
      <c r="F549" s="53">
        <v>0.81</v>
      </c>
    </row>
    <row r="550" spans="1:6">
      <c r="A550" s="52">
        <v>39639</v>
      </c>
      <c r="B550" s="53" t="s">
        <v>511</v>
      </c>
      <c r="C550" s="53" t="s">
        <v>503</v>
      </c>
      <c r="D550" s="53" t="s">
        <v>504</v>
      </c>
      <c r="E550" s="53" t="s">
        <v>495</v>
      </c>
      <c r="F550" s="53">
        <v>1.1599999999999999</v>
      </c>
    </row>
    <row r="551" spans="1:6">
      <c r="A551" s="52">
        <v>39639</v>
      </c>
      <c r="B551" s="53" t="s">
        <v>511</v>
      </c>
      <c r="C551" s="53" t="s">
        <v>503</v>
      </c>
      <c r="D551" s="53" t="s">
        <v>505</v>
      </c>
      <c r="E551" s="53" t="s">
        <v>495</v>
      </c>
      <c r="F551" s="53">
        <v>1.1599999999999999</v>
      </c>
    </row>
    <row r="552" spans="1:6">
      <c r="A552" s="52">
        <v>39639</v>
      </c>
      <c r="B552" s="53" t="s">
        <v>511</v>
      </c>
      <c r="C552" s="53" t="s">
        <v>506</v>
      </c>
      <c r="D552" s="53" t="s">
        <v>504</v>
      </c>
      <c r="E552" s="53" t="s">
        <v>495</v>
      </c>
      <c r="F552" s="53">
        <v>1.1599999999999999</v>
      </c>
    </row>
    <row r="553" spans="1:6">
      <c r="A553" s="52">
        <v>39639</v>
      </c>
      <c r="B553" s="53" t="s">
        <v>511</v>
      </c>
      <c r="C553" s="53" t="s">
        <v>506</v>
      </c>
      <c r="D553" s="53" t="s">
        <v>505</v>
      </c>
      <c r="E553" s="53" t="s">
        <v>495</v>
      </c>
      <c r="F553" s="53">
        <v>1.1599999999999999</v>
      </c>
    </row>
    <row r="554" spans="1:6">
      <c r="A554" s="52">
        <v>39639</v>
      </c>
      <c r="B554" s="53" t="s">
        <v>502</v>
      </c>
      <c r="C554" s="53" t="s">
        <v>503</v>
      </c>
      <c r="D554" s="53" t="s">
        <v>504</v>
      </c>
      <c r="E554" s="53" t="s">
        <v>496</v>
      </c>
      <c r="F554" s="53">
        <v>0.76</v>
      </c>
    </row>
    <row r="555" spans="1:6">
      <c r="A555" s="52">
        <v>39639</v>
      </c>
      <c r="B555" s="53" t="s">
        <v>502</v>
      </c>
      <c r="C555" s="53" t="s">
        <v>506</v>
      </c>
      <c r="D555" s="53" t="s">
        <v>504</v>
      </c>
      <c r="E555" s="53" t="s">
        <v>496</v>
      </c>
      <c r="F555" s="53">
        <v>1.1000000000000001</v>
      </c>
    </row>
    <row r="556" spans="1:6">
      <c r="A556" s="52">
        <v>39639</v>
      </c>
      <c r="B556" s="53" t="s">
        <v>502</v>
      </c>
      <c r="C556" s="53" t="s">
        <v>503</v>
      </c>
      <c r="D556" s="53" t="s">
        <v>505</v>
      </c>
      <c r="E556" s="53" t="s">
        <v>496</v>
      </c>
      <c r="F556" s="53">
        <v>0.76</v>
      </c>
    </row>
    <row r="557" spans="1:6">
      <c r="A557" s="52">
        <v>39639</v>
      </c>
      <c r="B557" s="53" t="s">
        <v>502</v>
      </c>
      <c r="C557" s="53" t="s">
        <v>506</v>
      </c>
      <c r="D557" s="53" t="s">
        <v>505</v>
      </c>
      <c r="E557" s="53" t="s">
        <v>496</v>
      </c>
      <c r="F557" s="53">
        <v>1.1000000000000001</v>
      </c>
    </row>
    <row r="558" spans="1:6">
      <c r="A558" s="52">
        <v>39639</v>
      </c>
      <c r="B558" s="53" t="s">
        <v>507</v>
      </c>
      <c r="C558" s="53" t="s">
        <v>503</v>
      </c>
      <c r="D558" s="53" t="s">
        <v>504</v>
      </c>
      <c r="E558" s="53" t="s">
        <v>496</v>
      </c>
      <c r="F558" s="53">
        <v>0.41</v>
      </c>
    </row>
    <row r="559" spans="1:6">
      <c r="A559" s="52">
        <v>39639</v>
      </c>
      <c r="B559" s="53" t="s">
        <v>507</v>
      </c>
      <c r="C559" s="53" t="s">
        <v>506</v>
      </c>
      <c r="D559" s="53" t="s">
        <v>504</v>
      </c>
      <c r="E559" s="53" t="s">
        <v>496</v>
      </c>
      <c r="F559" s="53">
        <v>0.57999999999999996</v>
      </c>
    </row>
    <row r="560" spans="1:6">
      <c r="A560" s="52">
        <v>39639</v>
      </c>
      <c r="B560" s="53" t="s">
        <v>507</v>
      </c>
      <c r="C560" s="53" t="s">
        <v>503</v>
      </c>
      <c r="D560" s="53" t="s">
        <v>505</v>
      </c>
      <c r="E560" s="53" t="s">
        <v>496</v>
      </c>
      <c r="F560" s="53">
        <v>0.41</v>
      </c>
    </row>
    <row r="561" spans="1:6">
      <c r="A561" s="52">
        <v>39639</v>
      </c>
      <c r="B561" s="53" t="s">
        <v>507</v>
      </c>
      <c r="C561" s="53" t="s">
        <v>506</v>
      </c>
      <c r="D561" s="53" t="s">
        <v>505</v>
      </c>
      <c r="E561" s="53" t="s">
        <v>496</v>
      </c>
      <c r="F561" s="53">
        <v>0.57999999999999996</v>
      </c>
    </row>
    <row r="562" spans="1:6">
      <c r="A562" s="52">
        <v>39639</v>
      </c>
      <c r="B562" s="53" t="s">
        <v>508</v>
      </c>
      <c r="C562" s="53" t="s">
        <v>503</v>
      </c>
      <c r="D562" s="53" t="s">
        <v>504</v>
      </c>
      <c r="E562" s="53" t="s">
        <v>496</v>
      </c>
      <c r="F562" s="53">
        <v>0.47</v>
      </c>
    </row>
    <row r="563" spans="1:6">
      <c r="A563" s="52">
        <v>39639</v>
      </c>
      <c r="B563" s="53" t="s">
        <v>509</v>
      </c>
      <c r="C563" s="53" t="s">
        <v>503</v>
      </c>
      <c r="D563" s="53" t="s">
        <v>504</v>
      </c>
      <c r="E563" s="53" t="s">
        <v>496</v>
      </c>
      <c r="F563" s="53">
        <v>0.52</v>
      </c>
    </row>
    <row r="564" spans="1:6">
      <c r="A564" s="52">
        <v>39639</v>
      </c>
      <c r="B564" s="53" t="s">
        <v>508</v>
      </c>
      <c r="C564" s="53" t="s">
        <v>506</v>
      </c>
      <c r="D564" s="53" t="s">
        <v>504</v>
      </c>
      <c r="E564" s="53" t="s">
        <v>496</v>
      </c>
      <c r="F564" s="53">
        <v>0.64</v>
      </c>
    </row>
    <row r="565" spans="1:6">
      <c r="A565" s="52">
        <v>39639</v>
      </c>
      <c r="B565" s="53" t="s">
        <v>509</v>
      </c>
      <c r="C565" s="53" t="s">
        <v>506</v>
      </c>
      <c r="D565" s="53" t="s">
        <v>504</v>
      </c>
      <c r="E565" s="53" t="s">
        <v>496</v>
      </c>
      <c r="F565" s="53">
        <v>0.76</v>
      </c>
    </row>
    <row r="566" spans="1:6">
      <c r="A566" s="52">
        <v>39639</v>
      </c>
      <c r="B566" s="53" t="s">
        <v>508</v>
      </c>
      <c r="C566" s="53" t="s">
        <v>503</v>
      </c>
      <c r="D566" s="53" t="s">
        <v>505</v>
      </c>
      <c r="E566" s="53" t="s">
        <v>496</v>
      </c>
      <c r="F566" s="53">
        <v>0.47</v>
      </c>
    </row>
    <row r="567" spans="1:6">
      <c r="A567" s="52">
        <v>39639</v>
      </c>
      <c r="B567" s="53" t="s">
        <v>509</v>
      </c>
      <c r="C567" s="53" t="s">
        <v>503</v>
      </c>
      <c r="D567" s="53" t="s">
        <v>505</v>
      </c>
      <c r="E567" s="53" t="s">
        <v>496</v>
      </c>
      <c r="F567" s="53">
        <v>0.52</v>
      </c>
    </row>
    <row r="568" spans="1:6">
      <c r="A568" s="52">
        <v>39639</v>
      </c>
      <c r="B568" s="53" t="s">
        <v>508</v>
      </c>
      <c r="C568" s="53" t="s">
        <v>506</v>
      </c>
      <c r="D568" s="53" t="s">
        <v>505</v>
      </c>
      <c r="E568" s="53" t="s">
        <v>496</v>
      </c>
      <c r="F568" s="53">
        <v>0.64</v>
      </c>
    </row>
    <row r="569" spans="1:6">
      <c r="A569" s="52">
        <v>39639</v>
      </c>
      <c r="B569" s="53" t="s">
        <v>509</v>
      </c>
      <c r="C569" s="53" t="s">
        <v>506</v>
      </c>
      <c r="D569" s="53" t="s">
        <v>505</v>
      </c>
      <c r="E569" s="53" t="s">
        <v>496</v>
      </c>
      <c r="F569" s="53">
        <v>0.76</v>
      </c>
    </row>
    <row r="570" spans="1:6">
      <c r="A570" s="52">
        <v>39639</v>
      </c>
      <c r="B570" s="53" t="s">
        <v>510</v>
      </c>
      <c r="C570" s="53" t="s">
        <v>503</v>
      </c>
      <c r="D570" s="53" t="s">
        <v>504</v>
      </c>
      <c r="E570" s="53" t="s">
        <v>496</v>
      </c>
      <c r="F570" s="53">
        <v>0.81</v>
      </c>
    </row>
    <row r="571" spans="1:6">
      <c r="A571" s="52">
        <v>39639</v>
      </c>
      <c r="B571" s="53" t="s">
        <v>510</v>
      </c>
      <c r="C571" s="53" t="s">
        <v>503</v>
      </c>
      <c r="D571" s="53" t="s">
        <v>505</v>
      </c>
      <c r="E571" s="53" t="s">
        <v>496</v>
      </c>
      <c r="F571" s="53">
        <v>0.81</v>
      </c>
    </row>
    <row r="572" spans="1:6">
      <c r="A572" s="52">
        <v>39639</v>
      </c>
      <c r="B572" s="53" t="s">
        <v>510</v>
      </c>
      <c r="C572" s="53" t="s">
        <v>506</v>
      </c>
      <c r="D572" s="53" t="s">
        <v>504</v>
      </c>
      <c r="E572" s="53" t="s">
        <v>496</v>
      </c>
      <c r="F572" s="53">
        <v>0.81</v>
      </c>
    </row>
    <row r="573" spans="1:6">
      <c r="A573" s="52">
        <v>39639</v>
      </c>
      <c r="B573" s="53" t="s">
        <v>510</v>
      </c>
      <c r="C573" s="53" t="s">
        <v>506</v>
      </c>
      <c r="D573" s="53" t="s">
        <v>505</v>
      </c>
      <c r="E573" s="53" t="s">
        <v>496</v>
      </c>
      <c r="F573" s="53">
        <v>0.81</v>
      </c>
    </row>
    <row r="574" spans="1:6">
      <c r="A574" s="52">
        <v>39639</v>
      </c>
      <c r="B574" s="53" t="s">
        <v>511</v>
      </c>
      <c r="C574" s="53" t="s">
        <v>503</v>
      </c>
      <c r="D574" s="53" t="s">
        <v>504</v>
      </c>
      <c r="E574" s="53" t="s">
        <v>496</v>
      </c>
      <c r="F574" s="53">
        <v>1.1599999999999999</v>
      </c>
    </row>
    <row r="575" spans="1:6">
      <c r="A575" s="52">
        <v>39639</v>
      </c>
      <c r="B575" s="53" t="s">
        <v>511</v>
      </c>
      <c r="C575" s="53" t="s">
        <v>503</v>
      </c>
      <c r="D575" s="53" t="s">
        <v>505</v>
      </c>
      <c r="E575" s="53" t="s">
        <v>496</v>
      </c>
      <c r="F575" s="53">
        <v>1.1599999999999999</v>
      </c>
    </row>
    <row r="576" spans="1:6">
      <c r="A576" s="52">
        <v>39639</v>
      </c>
      <c r="B576" s="53" t="s">
        <v>511</v>
      </c>
      <c r="C576" s="53" t="s">
        <v>506</v>
      </c>
      <c r="D576" s="53" t="s">
        <v>504</v>
      </c>
      <c r="E576" s="53" t="s">
        <v>496</v>
      </c>
      <c r="F576" s="53">
        <v>1.1599999999999999</v>
      </c>
    </row>
    <row r="577" spans="1:6">
      <c r="A577" s="52">
        <v>39639</v>
      </c>
      <c r="B577" s="53" t="s">
        <v>511</v>
      </c>
      <c r="C577" s="53" t="s">
        <v>506</v>
      </c>
      <c r="D577" s="53" t="s">
        <v>505</v>
      </c>
      <c r="E577" s="53" t="s">
        <v>496</v>
      </c>
      <c r="F577" s="53">
        <v>1.1599999999999999</v>
      </c>
    </row>
    <row r="578" spans="1:6">
      <c r="A578" s="52">
        <v>37499</v>
      </c>
      <c r="B578" s="53" t="s">
        <v>502</v>
      </c>
      <c r="C578" s="53" t="s">
        <v>503</v>
      </c>
      <c r="D578" s="53" t="s">
        <v>504</v>
      </c>
      <c r="E578" s="53" t="s">
        <v>494</v>
      </c>
      <c r="F578" s="53">
        <v>0.47</v>
      </c>
    </row>
    <row r="579" spans="1:6">
      <c r="A579" s="52">
        <v>37499</v>
      </c>
      <c r="B579" s="53" t="s">
        <v>502</v>
      </c>
      <c r="C579" s="53" t="s">
        <v>506</v>
      </c>
      <c r="D579" s="53" t="s">
        <v>504</v>
      </c>
      <c r="E579" s="53" t="s">
        <v>494</v>
      </c>
      <c r="F579" s="53">
        <v>0.64</v>
      </c>
    </row>
    <row r="580" spans="1:6">
      <c r="A580" s="52">
        <v>37499</v>
      </c>
      <c r="B580" s="53" t="s">
        <v>502</v>
      </c>
      <c r="C580" s="53" t="s">
        <v>503</v>
      </c>
      <c r="D580" s="53" t="s">
        <v>505</v>
      </c>
      <c r="E580" s="53" t="s">
        <v>494</v>
      </c>
      <c r="F580" s="53">
        <v>0.47</v>
      </c>
    </row>
    <row r="581" spans="1:6">
      <c r="A581" s="52">
        <v>37499</v>
      </c>
      <c r="B581" s="53" t="s">
        <v>502</v>
      </c>
      <c r="C581" s="53" t="s">
        <v>506</v>
      </c>
      <c r="D581" s="53" t="s">
        <v>505</v>
      </c>
      <c r="E581" s="53" t="s">
        <v>494</v>
      </c>
      <c r="F581" s="53">
        <v>0.64</v>
      </c>
    </row>
    <row r="582" spans="1:6">
      <c r="A582" s="52">
        <v>37499</v>
      </c>
      <c r="B582" s="53" t="s">
        <v>507</v>
      </c>
      <c r="C582" s="53" t="s">
        <v>503</v>
      </c>
      <c r="D582" s="53" t="s">
        <v>504</v>
      </c>
      <c r="E582" s="53" t="s">
        <v>494</v>
      </c>
      <c r="F582" s="53">
        <v>0.28999999999999998</v>
      </c>
    </row>
    <row r="583" spans="1:6">
      <c r="A583" s="52">
        <v>37499</v>
      </c>
      <c r="B583" s="53" t="s">
        <v>507</v>
      </c>
      <c r="C583" s="53" t="s">
        <v>506</v>
      </c>
      <c r="D583" s="53" t="s">
        <v>504</v>
      </c>
      <c r="E583" s="53" t="s">
        <v>494</v>
      </c>
      <c r="F583" s="53">
        <v>0.41</v>
      </c>
    </row>
    <row r="584" spans="1:6">
      <c r="A584" s="52">
        <v>37499</v>
      </c>
      <c r="B584" s="53" t="s">
        <v>507</v>
      </c>
      <c r="C584" s="53" t="s">
        <v>503</v>
      </c>
      <c r="D584" s="53" t="s">
        <v>505</v>
      </c>
      <c r="E584" s="53" t="s">
        <v>494</v>
      </c>
      <c r="F584" s="53">
        <v>0.28999999999999998</v>
      </c>
    </row>
    <row r="585" spans="1:6">
      <c r="A585" s="52">
        <v>37499</v>
      </c>
      <c r="B585" s="53" t="s">
        <v>507</v>
      </c>
      <c r="C585" s="53" t="s">
        <v>506</v>
      </c>
      <c r="D585" s="53" t="s">
        <v>505</v>
      </c>
      <c r="E585" s="53" t="s">
        <v>494</v>
      </c>
      <c r="F585" s="53">
        <v>0.41</v>
      </c>
    </row>
    <row r="586" spans="1:6">
      <c r="A586" s="52">
        <v>37499</v>
      </c>
      <c r="B586" s="53" t="s">
        <v>508</v>
      </c>
      <c r="C586" s="53" t="s">
        <v>503</v>
      </c>
      <c r="D586" s="53" t="s">
        <v>504</v>
      </c>
      <c r="E586" s="53" t="s">
        <v>494</v>
      </c>
      <c r="F586" s="53">
        <v>0.35</v>
      </c>
    </row>
    <row r="587" spans="1:6">
      <c r="A587" s="52">
        <v>37499</v>
      </c>
      <c r="B587" s="53" t="s">
        <v>509</v>
      </c>
      <c r="C587" s="53" t="s">
        <v>503</v>
      </c>
      <c r="D587" s="53" t="s">
        <v>504</v>
      </c>
      <c r="E587" s="53" t="s">
        <v>494</v>
      </c>
      <c r="F587" s="53">
        <v>0.41</v>
      </c>
    </row>
    <row r="588" spans="1:6">
      <c r="A588" s="52">
        <v>37499</v>
      </c>
      <c r="B588" s="53" t="s">
        <v>508</v>
      </c>
      <c r="C588" s="53" t="s">
        <v>506</v>
      </c>
      <c r="D588" s="53" t="s">
        <v>504</v>
      </c>
      <c r="E588" s="53" t="s">
        <v>494</v>
      </c>
      <c r="F588" s="53">
        <v>0.52</v>
      </c>
    </row>
    <row r="589" spans="1:6">
      <c r="A589" s="52">
        <v>37499</v>
      </c>
      <c r="B589" s="53" t="s">
        <v>509</v>
      </c>
      <c r="C589" s="53" t="s">
        <v>506</v>
      </c>
      <c r="D589" s="53" t="s">
        <v>504</v>
      </c>
      <c r="E589" s="53" t="s">
        <v>494</v>
      </c>
      <c r="F589" s="53">
        <v>0.57999999999999996</v>
      </c>
    </row>
    <row r="590" spans="1:6">
      <c r="A590" s="52">
        <v>37499</v>
      </c>
      <c r="B590" s="53" t="s">
        <v>508</v>
      </c>
      <c r="C590" s="53" t="s">
        <v>503</v>
      </c>
      <c r="D590" s="53" t="s">
        <v>505</v>
      </c>
      <c r="E590" s="53" t="s">
        <v>494</v>
      </c>
      <c r="F590" s="53">
        <v>0.35</v>
      </c>
    </row>
    <row r="591" spans="1:6">
      <c r="A591" s="52">
        <v>37499</v>
      </c>
      <c r="B591" s="53" t="s">
        <v>509</v>
      </c>
      <c r="C591" s="53" t="s">
        <v>503</v>
      </c>
      <c r="D591" s="53" t="s">
        <v>505</v>
      </c>
      <c r="E591" s="53" t="s">
        <v>494</v>
      </c>
      <c r="F591" s="53">
        <v>0.41</v>
      </c>
    </row>
    <row r="592" spans="1:6">
      <c r="A592" s="52">
        <v>37499</v>
      </c>
      <c r="B592" s="53" t="s">
        <v>508</v>
      </c>
      <c r="C592" s="53" t="s">
        <v>506</v>
      </c>
      <c r="D592" s="53" t="s">
        <v>505</v>
      </c>
      <c r="E592" s="53" t="s">
        <v>494</v>
      </c>
      <c r="F592" s="53">
        <v>0.52</v>
      </c>
    </row>
    <row r="593" spans="1:6">
      <c r="A593" s="52">
        <v>37499</v>
      </c>
      <c r="B593" s="53" t="s">
        <v>509</v>
      </c>
      <c r="C593" s="53" t="s">
        <v>506</v>
      </c>
      <c r="D593" s="53" t="s">
        <v>505</v>
      </c>
      <c r="E593" s="53" t="s">
        <v>494</v>
      </c>
      <c r="F593" s="53">
        <v>0.57999999999999996</v>
      </c>
    </row>
    <row r="594" spans="1:6">
      <c r="A594" s="52">
        <v>37499</v>
      </c>
      <c r="B594" s="53" t="s">
        <v>510</v>
      </c>
      <c r="C594" s="53" t="s">
        <v>503</v>
      </c>
      <c r="D594" s="53" t="s">
        <v>504</v>
      </c>
      <c r="E594" s="53" t="s">
        <v>494</v>
      </c>
      <c r="F594" s="53">
        <v>0.81</v>
      </c>
    </row>
    <row r="595" spans="1:6">
      <c r="A595" s="52">
        <v>37499</v>
      </c>
      <c r="B595" s="53" t="s">
        <v>510</v>
      </c>
      <c r="C595" s="53" t="s">
        <v>503</v>
      </c>
      <c r="D595" s="53" t="s">
        <v>505</v>
      </c>
      <c r="E595" s="53" t="s">
        <v>494</v>
      </c>
      <c r="F595" s="53">
        <v>0.81</v>
      </c>
    </row>
    <row r="596" spans="1:6">
      <c r="A596" s="52">
        <v>37499</v>
      </c>
      <c r="B596" s="53" t="s">
        <v>510</v>
      </c>
      <c r="C596" s="53" t="s">
        <v>506</v>
      </c>
      <c r="D596" s="53" t="s">
        <v>504</v>
      </c>
      <c r="E596" s="53" t="s">
        <v>494</v>
      </c>
      <c r="F596" s="53">
        <v>0.81</v>
      </c>
    </row>
    <row r="597" spans="1:6">
      <c r="A597" s="52">
        <v>37499</v>
      </c>
      <c r="B597" s="53" t="s">
        <v>510</v>
      </c>
      <c r="C597" s="53" t="s">
        <v>506</v>
      </c>
      <c r="D597" s="53" t="s">
        <v>505</v>
      </c>
      <c r="E597" s="53" t="s">
        <v>494</v>
      </c>
      <c r="F597" s="53">
        <v>0.81</v>
      </c>
    </row>
    <row r="598" spans="1:6">
      <c r="A598" s="52">
        <v>37499</v>
      </c>
      <c r="B598" s="53" t="s">
        <v>511</v>
      </c>
      <c r="C598" s="53" t="s">
        <v>503</v>
      </c>
      <c r="D598" s="53" t="s">
        <v>504</v>
      </c>
      <c r="E598" s="53" t="s">
        <v>494</v>
      </c>
      <c r="F598" s="53">
        <v>1.1599999999999999</v>
      </c>
    </row>
    <row r="599" spans="1:6">
      <c r="A599" s="52">
        <v>37499</v>
      </c>
      <c r="B599" s="53" t="s">
        <v>511</v>
      </c>
      <c r="C599" s="53" t="s">
        <v>503</v>
      </c>
      <c r="D599" s="53" t="s">
        <v>505</v>
      </c>
      <c r="E599" s="53" t="s">
        <v>494</v>
      </c>
      <c r="F599" s="53">
        <v>1.1599999999999999</v>
      </c>
    </row>
    <row r="600" spans="1:6">
      <c r="A600" s="52">
        <v>37499</v>
      </c>
      <c r="B600" s="53" t="s">
        <v>511</v>
      </c>
      <c r="C600" s="53" t="s">
        <v>506</v>
      </c>
      <c r="D600" s="53" t="s">
        <v>504</v>
      </c>
      <c r="E600" s="53" t="s">
        <v>494</v>
      </c>
      <c r="F600" s="53">
        <v>1.1599999999999999</v>
      </c>
    </row>
    <row r="601" spans="1:6">
      <c r="A601" s="52">
        <v>37499</v>
      </c>
      <c r="B601" s="53" t="s">
        <v>511</v>
      </c>
      <c r="C601" s="53" t="s">
        <v>506</v>
      </c>
      <c r="D601" s="53" t="s">
        <v>505</v>
      </c>
      <c r="E601" s="53" t="s">
        <v>494</v>
      </c>
      <c r="F601" s="53">
        <v>1.1599999999999999</v>
      </c>
    </row>
    <row r="602" spans="1:6">
      <c r="A602" s="52">
        <v>37499</v>
      </c>
      <c r="B602" s="53" t="s">
        <v>502</v>
      </c>
      <c r="C602" s="53" t="s">
        <v>503</v>
      </c>
      <c r="D602" s="53" t="s">
        <v>504</v>
      </c>
      <c r="E602" s="53" t="s">
        <v>493</v>
      </c>
      <c r="F602" s="53">
        <v>0.47</v>
      </c>
    </row>
    <row r="603" spans="1:6">
      <c r="A603" s="52">
        <v>37499</v>
      </c>
      <c r="B603" s="53" t="s">
        <v>502</v>
      </c>
      <c r="C603" s="53" t="s">
        <v>506</v>
      </c>
      <c r="D603" s="53" t="s">
        <v>504</v>
      </c>
      <c r="E603" s="53" t="s">
        <v>493</v>
      </c>
      <c r="F603" s="53">
        <v>0.64</v>
      </c>
    </row>
    <row r="604" spans="1:6">
      <c r="A604" s="52">
        <v>37499</v>
      </c>
      <c r="B604" s="53" t="s">
        <v>502</v>
      </c>
      <c r="C604" s="53" t="s">
        <v>503</v>
      </c>
      <c r="D604" s="53" t="s">
        <v>505</v>
      </c>
      <c r="E604" s="53" t="s">
        <v>493</v>
      </c>
      <c r="F604" s="53">
        <v>0.47</v>
      </c>
    </row>
    <row r="605" spans="1:6">
      <c r="A605" s="52">
        <v>37499</v>
      </c>
      <c r="B605" s="53" t="s">
        <v>502</v>
      </c>
      <c r="C605" s="53" t="s">
        <v>506</v>
      </c>
      <c r="D605" s="53" t="s">
        <v>505</v>
      </c>
      <c r="E605" s="53" t="s">
        <v>493</v>
      </c>
      <c r="F605" s="53">
        <v>0.64</v>
      </c>
    </row>
    <row r="606" spans="1:6">
      <c r="A606" s="52">
        <v>37499</v>
      </c>
      <c r="B606" s="53" t="s">
        <v>507</v>
      </c>
      <c r="C606" s="53" t="s">
        <v>503</v>
      </c>
      <c r="D606" s="53" t="s">
        <v>504</v>
      </c>
      <c r="E606" s="53" t="s">
        <v>493</v>
      </c>
      <c r="F606" s="53">
        <v>0.28999999999999998</v>
      </c>
    </row>
    <row r="607" spans="1:6">
      <c r="A607" s="52">
        <v>37499</v>
      </c>
      <c r="B607" s="53" t="s">
        <v>507</v>
      </c>
      <c r="C607" s="53" t="s">
        <v>506</v>
      </c>
      <c r="D607" s="53" t="s">
        <v>504</v>
      </c>
      <c r="E607" s="53" t="s">
        <v>493</v>
      </c>
      <c r="F607" s="53">
        <v>0.41</v>
      </c>
    </row>
    <row r="608" spans="1:6">
      <c r="A608" s="52">
        <v>37499</v>
      </c>
      <c r="B608" s="53" t="s">
        <v>507</v>
      </c>
      <c r="C608" s="53" t="s">
        <v>503</v>
      </c>
      <c r="D608" s="53" t="s">
        <v>505</v>
      </c>
      <c r="E608" s="53" t="s">
        <v>493</v>
      </c>
      <c r="F608" s="53">
        <v>0.28999999999999998</v>
      </c>
    </row>
    <row r="609" spans="1:6">
      <c r="A609" s="52">
        <v>37499</v>
      </c>
      <c r="B609" s="53" t="s">
        <v>507</v>
      </c>
      <c r="C609" s="53" t="s">
        <v>506</v>
      </c>
      <c r="D609" s="53" t="s">
        <v>505</v>
      </c>
      <c r="E609" s="53" t="s">
        <v>493</v>
      </c>
      <c r="F609" s="53">
        <v>0.41</v>
      </c>
    </row>
    <row r="610" spans="1:6">
      <c r="A610" s="52">
        <v>37499</v>
      </c>
      <c r="B610" s="53" t="s">
        <v>508</v>
      </c>
      <c r="C610" s="53" t="s">
        <v>503</v>
      </c>
      <c r="D610" s="53" t="s">
        <v>504</v>
      </c>
      <c r="E610" s="53" t="s">
        <v>493</v>
      </c>
      <c r="F610" s="53">
        <v>0.35</v>
      </c>
    </row>
    <row r="611" spans="1:6">
      <c r="A611" s="52">
        <v>37499</v>
      </c>
      <c r="B611" s="53" t="s">
        <v>509</v>
      </c>
      <c r="C611" s="53" t="s">
        <v>503</v>
      </c>
      <c r="D611" s="53" t="s">
        <v>504</v>
      </c>
      <c r="E611" s="53" t="s">
        <v>493</v>
      </c>
      <c r="F611" s="53">
        <v>0.41</v>
      </c>
    </row>
    <row r="612" spans="1:6">
      <c r="A612" s="52">
        <v>37499</v>
      </c>
      <c r="B612" s="53" t="s">
        <v>508</v>
      </c>
      <c r="C612" s="53" t="s">
        <v>506</v>
      </c>
      <c r="D612" s="53" t="s">
        <v>504</v>
      </c>
      <c r="E612" s="53" t="s">
        <v>493</v>
      </c>
      <c r="F612" s="53">
        <v>0.52</v>
      </c>
    </row>
    <row r="613" spans="1:6">
      <c r="A613" s="52">
        <v>37499</v>
      </c>
      <c r="B613" s="53" t="s">
        <v>509</v>
      </c>
      <c r="C613" s="53" t="s">
        <v>506</v>
      </c>
      <c r="D613" s="53" t="s">
        <v>504</v>
      </c>
      <c r="E613" s="53" t="s">
        <v>493</v>
      </c>
      <c r="F613" s="53">
        <v>0.57999999999999996</v>
      </c>
    </row>
    <row r="614" spans="1:6">
      <c r="A614" s="52">
        <v>37499</v>
      </c>
      <c r="B614" s="53" t="s">
        <v>508</v>
      </c>
      <c r="C614" s="53" t="s">
        <v>503</v>
      </c>
      <c r="D614" s="53" t="s">
        <v>505</v>
      </c>
      <c r="E614" s="53" t="s">
        <v>493</v>
      </c>
      <c r="F614" s="53">
        <v>0.35</v>
      </c>
    </row>
    <row r="615" spans="1:6">
      <c r="A615" s="52">
        <v>37499</v>
      </c>
      <c r="B615" s="53" t="s">
        <v>509</v>
      </c>
      <c r="C615" s="53" t="s">
        <v>503</v>
      </c>
      <c r="D615" s="53" t="s">
        <v>505</v>
      </c>
      <c r="E615" s="53" t="s">
        <v>493</v>
      </c>
      <c r="F615" s="53">
        <v>0.41</v>
      </c>
    </row>
    <row r="616" spans="1:6">
      <c r="A616" s="52">
        <v>37499</v>
      </c>
      <c r="B616" s="53" t="s">
        <v>508</v>
      </c>
      <c r="C616" s="53" t="s">
        <v>506</v>
      </c>
      <c r="D616" s="53" t="s">
        <v>505</v>
      </c>
      <c r="E616" s="53" t="s">
        <v>493</v>
      </c>
      <c r="F616" s="53">
        <v>0.52</v>
      </c>
    </row>
    <row r="617" spans="1:6">
      <c r="A617" s="52">
        <v>37499</v>
      </c>
      <c r="B617" s="53" t="s">
        <v>509</v>
      </c>
      <c r="C617" s="53" t="s">
        <v>506</v>
      </c>
      <c r="D617" s="53" t="s">
        <v>505</v>
      </c>
      <c r="E617" s="53" t="s">
        <v>493</v>
      </c>
      <c r="F617" s="53">
        <v>0.57999999999999996</v>
      </c>
    </row>
    <row r="618" spans="1:6">
      <c r="A618" s="52">
        <v>37499</v>
      </c>
      <c r="B618" s="53" t="s">
        <v>510</v>
      </c>
      <c r="C618" s="53" t="s">
        <v>503</v>
      </c>
      <c r="D618" s="53" t="s">
        <v>504</v>
      </c>
      <c r="E618" s="53" t="s">
        <v>493</v>
      </c>
      <c r="F618" s="53">
        <v>0.81</v>
      </c>
    </row>
    <row r="619" spans="1:6">
      <c r="A619" s="52">
        <v>37499</v>
      </c>
      <c r="B619" s="53" t="s">
        <v>510</v>
      </c>
      <c r="C619" s="53" t="s">
        <v>503</v>
      </c>
      <c r="D619" s="53" t="s">
        <v>505</v>
      </c>
      <c r="E619" s="53" t="s">
        <v>493</v>
      </c>
      <c r="F619" s="53">
        <v>0.81</v>
      </c>
    </row>
    <row r="620" spans="1:6">
      <c r="A620" s="52">
        <v>37499</v>
      </c>
      <c r="B620" s="53" t="s">
        <v>510</v>
      </c>
      <c r="C620" s="53" t="s">
        <v>506</v>
      </c>
      <c r="D620" s="53" t="s">
        <v>504</v>
      </c>
      <c r="E620" s="53" t="s">
        <v>493</v>
      </c>
      <c r="F620" s="53">
        <v>0.81</v>
      </c>
    </row>
    <row r="621" spans="1:6">
      <c r="A621" s="52">
        <v>37499</v>
      </c>
      <c r="B621" s="53" t="s">
        <v>510</v>
      </c>
      <c r="C621" s="53" t="s">
        <v>506</v>
      </c>
      <c r="D621" s="53" t="s">
        <v>505</v>
      </c>
      <c r="E621" s="53" t="s">
        <v>493</v>
      </c>
      <c r="F621" s="53">
        <v>0.81</v>
      </c>
    </row>
    <row r="622" spans="1:6">
      <c r="A622" s="52">
        <v>37499</v>
      </c>
      <c r="B622" s="53" t="s">
        <v>511</v>
      </c>
      <c r="C622" s="53" t="s">
        <v>503</v>
      </c>
      <c r="D622" s="53" t="s">
        <v>504</v>
      </c>
      <c r="E622" s="53" t="s">
        <v>493</v>
      </c>
      <c r="F622" s="53">
        <v>1.1599999999999999</v>
      </c>
    </row>
    <row r="623" spans="1:6">
      <c r="A623" s="52">
        <v>37499</v>
      </c>
      <c r="B623" s="53" t="s">
        <v>511</v>
      </c>
      <c r="C623" s="53" t="s">
        <v>503</v>
      </c>
      <c r="D623" s="53" t="s">
        <v>505</v>
      </c>
      <c r="E623" s="53" t="s">
        <v>493</v>
      </c>
      <c r="F623" s="53">
        <v>1.1599999999999999</v>
      </c>
    </row>
    <row r="624" spans="1:6">
      <c r="A624" s="52">
        <v>37499</v>
      </c>
      <c r="B624" s="53" t="s">
        <v>511</v>
      </c>
      <c r="C624" s="53" t="s">
        <v>506</v>
      </c>
      <c r="D624" s="53" t="s">
        <v>504</v>
      </c>
      <c r="E624" s="53" t="s">
        <v>493</v>
      </c>
      <c r="F624" s="53">
        <v>1.1599999999999999</v>
      </c>
    </row>
    <row r="625" spans="1:6">
      <c r="A625" s="52">
        <v>37499</v>
      </c>
      <c r="B625" s="53" t="s">
        <v>511</v>
      </c>
      <c r="C625" s="53" t="s">
        <v>506</v>
      </c>
      <c r="D625" s="53" t="s">
        <v>505</v>
      </c>
      <c r="E625" s="53" t="s">
        <v>493</v>
      </c>
      <c r="F625" s="53">
        <v>1.1599999999999999</v>
      </c>
    </row>
    <row r="626" spans="1:6">
      <c r="A626" s="52">
        <v>37499</v>
      </c>
      <c r="B626" s="53" t="s">
        <v>502</v>
      </c>
      <c r="C626" s="53" t="s">
        <v>503</v>
      </c>
      <c r="D626" s="53" t="s">
        <v>504</v>
      </c>
      <c r="E626" s="53" t="s">
        <v>495</v>
      </c>
      <c r="F626" s="53">
        <v>0.57999999999999996</v>
      </c>
    </row>
    <row r="627" spans="1:6">
      <c r="A627" s="52">
        <v>37499</v>
      </c>
      <c r="B627" s="53" t="s">
        <v>502</v>
      </c>
      <c r="C627" s="53" t="s">
        <v>506</v>
      </c>
      <c r="D627" s="53" t="s">
        <v>504</v>
      </c>
      <c r="E627" s="53" t="s">
        <v>495</v>
      </c>
      <c r="F627" s="53">
        <v>0.81</v>
      </c>
    </row>
    <row r="628" spans="1:6">
      <c r="A628" s="52">
        <v>37499</v>
      </c>
      <c r="B628" s="53" t="s">
        <v>502</v>
      </c>
      <c r="C628" s="53" t="s">
        <v>503</v>
      </c>
      <c r="D628" s="53" t="s">
        <v>505</v>
      </c>
      <c r="E628" s="53" t="s">
        <v>495</v>
      </c>
      <c r="F628" s="53">
        <v>0.57999999999999996</v>
      </c>
    </row>
    <row r="629" spans="1:6">
      <c r="A629" s="52">
        <v>37499</v>
      </c>
      <c r="B629" s="53" t="s">
        <v>502</v>
      </c>
      <c r="C629" s="53" t="s">
        <v>506</v>
      </c>
      <c r="D629" s="53" t="s">
        <v>505</v>
      </c>
      <c r="E629" s="53" t="s">
        <v>495</v>
      </c>
      <c r="F629" s="53">
        <v>0.81</v>
      </c>
    </row>
    <row r="630" spans="1:6">
      <c r="A630" s="52">
        <v>37499</v>
      </c>
      <c r="B630" s="53" t="s">
        <v>507</v>
      </c>
      <c r="C630" s="53" t="s">
        <v>503</v>
      </c>
      <c r="D630" s="53" t="s">
        <v>504</v>
      </c>
      <c r="E630" s="53" t="s">
        <v>495</v>
      </c>
      <c r="F630" s="53">
        <v>0.35</v>
      </c>
    </row>
    <row r="631" spans="1:6">
      <c r="A631" s="52">
        <v>37499</v>
      </c>
      <c r="B631" s="53" t="s">
        <v>507</v>
      </c>
      <c r="C631" s="53" t="s">
        <v>506</v>
      </c>
      <c r="D631" s="53" t="s">
        <v>504</v>
      </c>
      <c r="E631" s="53" t="s">
        <v>495</v>
      </c>
      <c r="F631" s="53">
        <v>0.52</v>
      </c>
    </row>
    <row r="632" spans="1:6">
      <c r="A632" s="52">
        <v>37499</v>
      </c>
      <c r="B632" s="53" t="s">
        <v>507</v>
      </c>
      <c r="C632" s="53" t="s">
        <v>503</v>
      </c>
      <c r="D632" s="53" t="s">
        <v>505</v>
      </c>
      <c r="E632" s="53" t="s">
        <v>495</v>
      </c>
      <c r="F632" s="53">
        <v>0.35</v>
      </c>
    </row>
    <row r="633" spans="1:6">
      <c r="A633" s="52">
        <v>37499</v>
      </c>
      <c r="B633" s="53" t="s">
        <v>507</v>
      </c>
      <c r="C633" s="53" t="s">
        <v>506</v>
      </c>
      <c r="D633" s="53" t="s">
        <v>505</v>
      </c>
      <c r="E633" s="53" t="s">
        <v>495</v>
      </c>
      <c r="F633" s="53">
        <v>0.52</v>
      </c>
    </row>
    <row r="634" spans="1:6">
      <c r="A634" s="52">
        <v>37499</v>
      </c>
      <c r="B634" s="53" t="s">
        <v>508</v>
      </c>
      <c r="C634" s="53" t="s">
        <v>503</v>
      </c>
      <c r="D634" s="53" t="s">
        <v>504</v>
      </c>
      <c r="E634" s="53" t="s">
        <v>495</v>
      </c>
      <c r="F634" s="53">
        <v>0.41</v>
      </c>
    </row>
    <row r="635" spans="1:6">
      <c r="A635" s="52">
        <v>37499</v>
      </c>
      <c r="B635" s="53" t="s">
        <v>509</v>
      </c>
      <c r="C635" s="53" t="s">
        <v>503</v>
      </c>
      <c r="D635" s="53" t="s">
        <v>504</v>
      </c>
      <c r="E635" s="53" t="s">
        <v>495</v>
      </c>
      <c r="F635" s="53">
        <v>0.47</v>
      </c>
    </row>
    <row r="636" spans="1:6">
      <c r="A636" s="52">
        <v>37499</v>
      </c>
      <c r="B636" s="53" t="s">
        <v>508</v>
      </c>
      <c r="C636" s="53" t="s">
        <v>506</v>
      </c>
      <c r="D636" s="53" t="s">
        <v>504</v>
      </c>
      <c r="E636" s="53" t="s">
        <v>495</v>
      </c>
      <c r="F636" s="53">
        <v>0.57999999999999996</v>
      </c>
    </row>
    <row r="637" spans="1:6">
      <c r="A637" s="52">
        <v>37499</v>
      </c>
      <c r="B637" s="53" t="s">
        <v>509</v>
      </c>
      <c r="C637" s="53" t="s">
        <v>506</v>
      </c>
      <c r="D637" s="53" t="s">
        <v>504</v>
      </c>
      <c r="E637" s="53" t="s">
        <v>495</v>
      </c>
      <c r="F637" s="53">
        <v>0.64</v>
      </c>
    </row>
    <row r="638" spans="1:6">
      <c r="A638" s="52">
        <v>37499</v>
      </c>
      <c r="B638" s="53" t="s">
        <v>508</v>
      </c>
      <c r="C638" s="53" t="s">
        <v>503</v>
      </c>
      <c r="D638" s="53" t="s">
        <v>505</v>
      </c>
      <c r="E638" s="53" t="s">
        <v>495</v>
      </c>
      <c r="F638" s="53">
        <v>0.41</v>
      </c>
    </row>
    <row r="639" spans="1:6">
      <c r="A639" s="52">
        <v>37499</v>
      </c>
      <c r="B639" s="53" t="s">
        <v>509</v>
      </c>
      <c r="C639" s="53" t="s">
        <v>503</v>
      </c>
      <c r="D639" s="53" t="s">
        <v>505</v>
      </c>
      <c r="E639" s="53" t="s">
        <v>495</v>
      </c>
      <c r="F639" s="53">
        <v>0.47</v>
      </c>
    </row>
    <row r="640" spans="1:6">
      <c r="A640" s="52">
        <v>37499</v>
      </c>
      <c r="B640" s="53" t="s">
        <v>508</v>
      </c>
      <c r="C640" s="53" t="s">
        <v>506</v>
      </c>
      <c r="D640" s="53" t="s">
        <v>505</v>
      </c>
      <c r="E640" s="53" t="s">
        <v>495</v>
      </c>
      <c r="F640" s="53">
        <v>0.57999999999999996</v>
      </c>
    </row>
    <row r="641" spans="1:6">
      <c r="A641" s="52">
        <v>37499</v>
      </c>
      <c r="B641" s="53" t="s">
        <v>509</v>
      </c>
      <c r="C641" s="53" t="s">
        <v>506</v>
      </c>
      <c r="D641" s="53" t="s">
        <v>505</v>
      </c>
      <c r="E641" s="53" t="s">
        <v>495</v>
      </c>
      <c r="F641" s="53">
        <v>0.64</v>
      </c>
    </row>
    <row r="642" spans="1:6">
      <c r="A642" s="52">
        <v>37499</v>
      </c>
      <c r="B642" s="53" t="s">
        <v>510</v>
      </c>
      <c r="C642" s="53" t="s">
        <v>503</v>
      </c>
      <c r="D642" s="53" t="s">
        <v>504</v>
      </c>
      <c r="E642" s="53" t="s">
        <v>495</v>
      </c>
      <c r="F642" s="53">
        <v>0.81</v>
      </c>
    </row>
    <row r="643" spans="1:6">
      <c r="A643" s="52">
        <v>37499</v>
      </c>
      <c r="B643" s="53" t="s">
        <v>510</v>
      </c>
      <c r="C643" s="53" t="s">
        <v>503</v>
      </c>
      <c r="D643" s="53" t="s">
        <v>505</v>
      </c>
      <c r="E643" s="53" t="s">
        <v>495</v>
      </c>
      <c r="F643" s="53">
        <v>0.81</v>
      </c>
    </row>
    <row r="644" spans="1:6">
      <c r="A644" s="52">
        <v>37499</v>
      </c>
      <c r="B644" s="53" t="s">
        <v>510</v>
      </c>
      <c r="C644" s="53" t="s">
        <v>506</v>
      </c>
      <c r="D644" s="53" t="s">
        <v>504</v>
      </c>
      <c r="E644" s="53" t="s">
        <v>495</v>
      </c>
      <c r="F644" s="53">
        <v>0.81</v>
      </c>
    </row>
    <row r="645" spans="1:6">
      <c r="A645" s="52">
        <v>37499</v>
      </c>
      <c r="B645" s="53" t="s">
        <v>510</v>
      </c>
      <c r="C645" s="53" t="s">
        <v>506</v>
      </c>
      <c r="D645" s="53" t="s">
        <v>505</v>
      </c>
      <c r="E645" s="53" t="s">
        <v>495</v>
      </c>
      <c r="F645" s="53">
        <v>0.81</v>
      </c>
    </row>
    <row r="646" spans="1:6">
      <c r="A646" s="52">
        <v>37499</v>
      </c>
      <c r="B646" s="53" t="s">
        <v>511</v>
      </c>
      <c r="C646" s="53" t="s">
        <v>503</v>
      </c>
      <c r="D646" s="53" t="s">
        <v>504</v>
      </c>
      <c r="E646" s="53" t="s">
        <v>495</v>
      </c>
      <c r="F646" s="53">
        <v>1.1599999999999999</v>
      </c>
    </row>
    <row r="647" spans="1:6">
      <c r="A647" s="52">
        <v>37499</v>
      </c>
      <c r="B647" s="53" t="s">
        <v>511</v>
      </c>
      <c r="C647" s="53" t="s">
        <v>503</v>
      </c>
      <c r="D647" s="53" t="s">
        <v>505</v>
      </c>
      <c r="E647" s="53" t="s">
        <v>495</v>
      </c>
      <c r="F647" s="53">
        <v>1.1599999999999999</v>
      </c>
    </row>
    <row r="648" spans="1:6">
      <c r="A648" s="52">
        <v>37499</v>
      </c>
      <c r="B648" s="53" t="s">
        <v>511</v>
      </c>
      <c r="C648" s="53" t="s">
        <v>506</v>
      </c>
      <c r="D648" s="53" t="s">
        <v>504</v>
      </c>
      <c r="E648" s="53" t="s">
        <v>495</v>
      </c>
      <c r="F648" s="53">
        <v>1.1599999999999999</v>
      </c>
    </row>
    <row r="649" spans="1:6">
      <c r="A649" s="52">
        <v>37499</v>
      </c>
      <c r="B649" s="53" t="s">
        <v>511</v>
      </c>
      <c r="C649" s="53" t="s">
        <v>506</v>
      </c>
      <c r="D649" s="53" t="s">
        <v>505</v>
      </c>
      <c r="E649" s="53" t="s">
        <v>495</v>
      </c>
      <c r="F649" s="53">
        <v>1.1599999999999999</v>
      </c>
    </row>
    <row r="650" spans="1:6">
      <c r="A650" s="52">
        <v>37499</v>
      </c>
      <c r="B650" s="53" t="s">
        <v>502</v>
      </c>
      <c r="C650" s="53" t="s">
        <v>503</v>
      </c>
      <c r="D650" s="53" t="s">
        <v>504</v>
      </c>
      <c r="E650" s="53" t="s">
        <v>496</v>
      </c>
      <c r="F650" s="53">
        <v>0.76</v>
      </c>
    </row>
    <row r="651" spans="1:6">
      <c r="A651" s="52">
        <v>37499</v>
      </c>
      <c r="B651" s="53" t="s">
        <v>502</v>
      </c>
      <c r="C651" s="53" t="s">
        <v>506</v>
      </c>
      <c r="D651" s="53" t="s">
        <v>504</v>
      </c>
      <c r="E651" s="53" t="s">
        <v>496</v>
      </c>
      <c r="F651" s="53">
        <v>1.1000000000000001</v>
      </c>
    </row>
    <row r="652" spans="1:6">
      <c r="A652" s="52">
        <v>37499</v>
      </c>
      <c r="B652" s="53" t="s">
        <v>502</v>
      </c>
      <c r="C652" s="53" t="s">
        <v>503</v>
      </c>
      <c r="D652" s="53" t="s">
        <v>505</v>
      </c>
      <c r="E652" s="53" t="s">
        <v>496</v>
      </c>
      <c r="F652" s="53">
        <v>0.76</v>
      </c>
    </row>
    <row r="653" spans="1:6">
      <c r="A653" s="52">
        <v>37499</v>
      </c>
      <c r="B653" s="53" t="s">
        <v>502</v>
      </c>
      <c r="C653" s="53" t="s">
        <v>506</v>
      </c>
      <c r="D653" s="53" t="s">
        <v>505</v>
      </c>
      <c r="E653" s="53" t="s">
        <v>496</v>
      </c>
      <c r="F653" s="53">
        <v>1.1000000000000001</v>
      </c>
    </row>
    <row r="654" spans="1:6">
      <c r="A654" s="52">
        <v>37499</v>
      </c>
      <c r="B654" s="53" t="s">
        <v>507</v>
      </c>
      <c r="C654" s="53" t="s">
        <v>503</v>
      </c>
      <c r="D654" s="53" t="s">
        <v>504</v>
      </c>
      <c r="E654" s="53" t="s">
        <v>496</v>
      </c>
      <c r="F654" s="53">
        <v>0.41</v>
      </c>
    </row>
    <row r="655" spans="1:6">
      <c r="A655" s="52">
        <v>37499</v>
      </c>
      <c r="B655" s="53" t="s">
        <v>507</v>
      </c>
      <c r="C655" s="53" t="s">
        <v>506</v>
      </c>
      <c r="D655" s="53" t="s">
        <v>504</v>
      </c>
      <c r="E655" s="53" t="s">
        <v>496</v>
      </c>
      <c r="F655" s="53">
        <v>0.57999999999999996</v>
      </c>
    </row>
    <row r="656" spans="1:6">
      <c r="A656" s="52">
        <v>37499</v>
      </c>
      <c r="B656" s="53" t="s">
        <v>507</v>
      </c>
      <c r="C656" s="53" t="s">
        <v>503</v>
      </c>
      <c r="D656" s="53" t="s">
        <v>505</v>
      </c>
      <c r="E656" s="53" t="s">
        <v>496</v>
      </c>
      <c r="F656" s="53">
        <v>0.41</v>
      </c>
    </row>
    <row r="657" spans="1:6">
      <c r="A657" s="52">
        <v>37499</v>
      </c>
      <c r="B657" s="53" t="s">
        <v>507</v>
      </c>
      <c r="C657" s="53" t="s">
        <v>506</v>
      </c>
      <c r="D657" s="53" t="s">
        <v>505</v>
      </c>
      <c r="E657" s="53" t="s">
        <v>496</v>
      </c>
      <c r="F657" s="53">
        <v>0.57999999999999996</v>
      </c>
    </row>
    <row r="658" spans="1:6">
      <c r="A658" s="52">
        <v>37499</v>
      </c>
      <c r="B658" s="53" t="s">
        <v>508</v>
      </c>
      <c r="C658" s="53" t="s">
        <v>503</v>
      </c>
      <c r="D658" s="53" t="s">
        <v>504</v>
      </c>
      <c r="E658" s="53" t="s">
        <v>496</v>
      </c>
      <c r="F658" s="53">
        <v>0.47</v>
      </c>
    </row>
    <row r="659" spans="1:6">
      <c r="A659" s="52">
        <v>37499</v>
      </c>
      <c r="B659" s="53" t="s">
        <v>509</v>
      </c>
      <c r="C659" s="53" t="s">
        <v>503</v>
      </c>
      <c r="D659" s="53" t="s">
        <v>504</v>
      </c>
      <c r="E659" s="53" t="s">
        <v>496</v>
      </c>
      <c r="F659" s="53">
        <v>0.52</v>
      </c>
    </row>
    <row r="660" spans="1:6">
      <c r="A660" s="52">
        <v>37499</v>
      </c>
      <c r="B660" s="53" t="s">
        <v>508</v>
      </c>
      <c r="C660" s="53" t="s">
        <v>506</v>
      </c>
      <c r="D660" s="53" t="s">
        <v>504</v>
      </c>
      <c r="E660" s="53" t="s">
        <v>496</v>
      </c>
      <c r="F660" s="53">
        <v>0.64</v>
      </c>
    </row>
    <row r="661" spans="1:6">
      <c r="A661" s="52">
        <v>37499</v>
      </c>
      <c r="B661" s="53" t="s">
        <v>509</v>
      </c>
      <c r="C661" s="53" t="s">
        <v>506</v>
      </c>
      <c r="D661" s="53" t="s">
        <v>504</v>
      </c>
      <c r="E661" s="53" t="s">
        <v>496</v>
      </c>
      <c r="F661" s="53">
        <v>0.76</v>
      </c>
    </row>
    <row r="662" spans="1:6">
      <c r="A662" s="52">
        <v>37499</v>
      </c>
      <c r="B662" s="53" t="s">
        <v>508</v>
      </c>
      <c r="C662" s="53" t="s">
        <v>503</v>
      </c>
      <c r="D662" s="53" t="s">
        <v>505</v>
      </c>
      <c r="E662" s="53" t="s">
        <v>496</v>
      </c>
      <c r="F662" s="53">
        <v>0.47</v>
      </c>
    </row>
    <row r="663" spans="1:6">
      <c r="A663" s="52">
        <v>37499</v>
      </c>
      <c r="B663" s="53" t="s">
        <v>509</v>
      </c>
      <c r="C663" s="53" t="s">
        <v>503</v>
      </c>
      <c r="D663" s="53" t="s">
        <v>505</v>
      </c>
      <c r="E663" s="53" t="s">
        <v>496</v>
      </c>
      <c r="F663" s="53">
        <v>0.52</v>
      </c>
    </row>
    <row r="664" spans="1:6">
      <c r="A664" s="52">
        <v>37499</v>
      </c>
      <c r="B664" s="53" t="s">
        <v>508</v>
      </c>
      <c r="C664" s="53" t="s">
        <v>506</v>
      </c>
      <c r="D664" s="53" t="s">
        <v>505</v>
      </c>
      <c r="E664" s="53" t="s">
        <v>496</v>
      </c>
      <c r="F664" s="53">
        <v>0.64</v>
      </c>
    </row>
    <row r="665" spans="1:6">
      <c r="A665" s="52">
        <v>37499</v>
      </c>
      <c r="B665" s="53" t="s">
        <v>509</v>
      </c>
      <c r="C665" s="53" t="s">
        <v>506</v>
      </c>
      <c r="D665" s="53" t="s">
        <v>505</v>
      </c>
      <c r="E665" s="53" t="s">
        <v>496</v>
      </c>
      <c r="F665" s="53">
        <v>0.76</v>
      </c>
    </row>
    <row r="666" spans="1:6">
      <c r="A666" s="52">
        <v>37499</v>
      </c>
      <c r="B666" s="53" t="s">
        <v>510</v>
      </c>
      <c r="C666" s="53" t="s">
        <v>503</v>
      </c>
      <c r="D666" s="53" t="s">
        <v>504</v>
      </c>
      <c r="E666" s="53" t="s">
        <v>496</v>
      </c>
      <c r="F666" s="53">
        <v>0.81</v>
      </c>
    </row>
    <row r="667" spans="1:6">
      <c r="A667" s="52">
        <v>37499</v>
      </c>
      <c r="B667" s="53" t="s">
        <v>510</v>
      </c>
      <c r="C667" s="53" t="s">
        <v>503</v>
      </c>
      <c r="D667" s="53" t="s">
        <v>505</v>
      </c>
      <c r="E667" s="53" t="s">
        <v>496</v>
      </c>
      <c r="F667" s="53">
        <v>0.81</v>
      </c>
    </row>
    <row r="668" spans="1:6">
      <c r="A668" s="52">
        <v>37499</v>
      </c>
      <c r="B668" s="53" t="s">
        <v>510</v>
      </c>
      <c r="C668" s="53" t="s">
        <v>506</v>
      </c>
      <c r="D668" s="53" t="s">
        <v>504</v>
      </c>
      <c r="E668" s="53" t="s">
        <v>496</v>
      </c>
      <c r="F668" s="53">
        <v>0.81</v>
      </c>
    </row>
    <row r="669" spans="1:6">
      <c r="A669" s="52">
        <v>37499</v>
      </c>
      <c r="B669" s="53" t="s">
        <v>510</v>
      </c>
      <c r="C669" s="53" t="s">
        <v>506</v>
      </c>
      <c r="D669" s="53" t="s">
        <v>505</v>
      </c>
      <c r="E669" s="53" t="s">
        <v>496</v>
      </c>
      <c r="F669" s="53">
        <v>0.81</v>
      </c>
    </row>
    <row r="670" spans="1:6">
      <c r="A670" s="52">
        <v>37499</v>
      </c>
      <c r="B670" s="53" t="s">
        <v>511</v>
      </c>
      <c r="C670" s="53" t="s">
        <v>503</v>
      </c>
      <c r="D670" s="53" t="s">
        <v>504</v>
      </c>
      <c r="E670" s="53" t="s">
        <v>496</v>
      </c>
      <c r="F670" s="53">
        <v>1.1599999999999999</v>
      </c>
    </row>
    <row r="671" spans="1:6">
      <c r="A671" s="52">
        <v>37499</v>
      </c>
      <c r="B671" s="53" t="s">
        <v>511</v>
      </c>
      <c r="C671" s="53" t="s">
        <v>503</v>
      </c>
      <c r="D671" s="53" t="s">
        <v>505</v>
      </c>
      <c r="E671" s="53" t="s">
        <v>496</v>
      </c>
      <c r="F671" s="53">
        <v>1.1599999999999999</v>
      </c>
    </row>
    <row r="672" spans="1:6">
      <c r="A672" s="52">
        <v>37499</v>
      </c>
      <c r="B672" s="53" t="s">
        <v>511</v>
      </c>
      <c r="C672" s="53" t="s">
        <v>506</v>
      </c>
      <c r="D672" s="53" t="s">
        <v>504</v>
      </c>
      <c r="E672" s="53" t="s">
        <v>496</v>
      </c>
      <c r="F672" s="53">
        <v>1.1599999999999999</v>
      </c>
    </row>
    <row r="673" spans="1:6">
      <c r="A673" s="52">
        <v>37499</v>
      </c>
      <c r="B673" s="53" t="s">
        <v>511</v>
      </c>
      <c r="C673" s="53" t="s">
        <v>506</v>
      </c>
      <c r="D673" s="53" t="s">
        <v>505</v>
      </c>
      <c r="E673" s="53" t="s">
        <v>496</v>
      </c>
      <c r="F673" s="53">
        <v>1.1599999999999999</v>
      </c>
    </row>
    <row r="674" spans="1:6">
      <c r="A674" s="52">
        <v>36908</v>
      </c>
      <c r="B674" s="53" t="s">
        <v>502</v>
      </c>
      <c r="C674" s="53" t="s">
        <v>503</v>
      </c>
      <c r="D674" s="53" t="s">
        <v>504</v>
      </c>
      <c r="E674" s="53" t="s">
        <v>494</v>
      </c>
      <c r="F674" s="53">
        <v>0.47</v>
      </c>
    </row>
    <row r="675" spans="1:6">
      <c r="A675" s="52">
        <v>36908</v>
      </c>
      <c r="B675" s="53" t="s">
        <v>502</v>
      </c>
      <c r="C675" s="53" t="s">
        <v>506</v>
      </c>
      <c r="D675" s="53" t="s">
        <v>504</v>
      </c>
      <c r="E675" s="53" t="s">
        <v>494</v>
      </c>
      <c r="F675" s="53">
        <v>0.64</v>
      </c>
    </row>
    <row r="676" spans="1:6">
      <c r="A676" s="52">
        <v>36908</v>
      </c>
      <c r="B676" s="53" t="s">
        <v>502</v>
      </c>
      <c r="C676" s="53" t="s">
        <v>503</v>
      </c>
      <c r="D676" s="53" t="s">
        <v>505</v>
      </c>
      <c r="E676" s="53" t="s">
        <v>494</v>
      </c>
      <c r="F676" s="53">
        <v>0.47</v>
      </c>
    </row>
    <row r="677" spans="1:6">
      <c r="A677" s="52">
        <v>36908</v>
      </c>
      <c r="B677" s="53" t="s">
        <v>502</v>
      </c>
      <c r="C677" s="53" t="s">
        <v>506</v>
      </c>
      <c r="D677" s="53" t="s">
        <v>505</v>
      </c>
      <c r="E677" s="53" t="s">
        <v>494</v>
      </c>
      <c r="F677" s="53">
        <v>0.64</v>
      </c>
    </row>
    <row r="678" spans="1:6">
      <c r="A678" s="52">
        <v>36908</v>
      </c>
      <c r="B678" s="53" t="s">
        <v>507</v>
      </c>
      <c r="C678" s="53" t="s">
        <v>503</v>
      </c>
      <c r="D678" s="53" t="s">
        <v>504</v>
      </c>
      <c r="E678" s="53" t="s">
        <v>494</v>
      </c>
      <c r="F678" s="53">
        <v>0.28999999999999998</v>
      </c>
    </row>
    <row r="679" spans="1:6">
      <c r="A679" s="52">
        <v>36908</v>
      </c>
      <c r="B679" s="53" t="s">
        <v>507</v>
      </c>
      <c r="C679" s="53" t="s">
        <v>506</v>
      </c>
      <c r="D679" s="53" t="s">
        <v>504</v>
      </c>
      <c r="E679" s="53" t="s">
        <v>494</v>
      </c>
      <c r="F679" s="53">
        <v>0.41</v>
      </c>
    </row>
    <row r="680" spans="1:6">
      <c r="A680" s="52">
        <v>36908</v>
      </c>
      <c r="B680" s="53" t="s">
        <v>507</v>
      </c>
      <c r="C680" s="53" t="s">
        <v>503</v>
      </c>
      <c r="D680" s="53" t="s">
        <v>505</v>
      </c>
      <c r="E680" s="53" t="s">
        <v>494</v>
      </c>
      <c r="F680" s="53">
        <v>0.28999999999999998</v>
      </c>
    </row>
    <row r="681" spans="1:6">
      <c r="A681" s="52">
        <v>36908</v>
      </c>
      <c r="B681" s="53" t="s">
        <v>507</v>
      </c>
      <c r="C681" s="53" t="s">
        <v>506</v>
      </c>
      <c r="D681" s="53" t="s">
        <v>505</v>
      </c>
      <c r="E681" s="53" t="s">
        <v>494</v>
      </c>
      <c r="F681" s="53">
        <v>0.41</v>
      </c>
    </row>
    <row r="682" spans="1:6">
      <c r="A682" s="52">
        <v>36908</v>
      </c>
      <c r="B682" s="53" t="s">
        <v>508</v>
      </c>
      <c r="C682" s="53" t="s">
        <v>503</v>
      </c>
      <c r="D682" s="53" t="s">
        <v>504</v>
      </c>
      <c r="E682" s="53" t="s">
        <v>494</v>
      </c>
      <c r="F682" s="53">
        <v>0.35</v>
      </c>
    </row>
    <row r="683" spans="1:6">
      <c r="A683" s="52">
        <v>36908</v>
      </c>
      <c r="B683" s="53" t="s">
        <v>509</v>
      </c>
      <c r="C683" s="53" t="s">
        <v>503</v>
      </c>
      <c r="D683" s="53" t="s">
        <v>504</v>
      </c>
      <c r="E683" s="53" t="s">
        <v>494</v>
      </c>
      <c r="F683" s="53">
        <v>0.41</v>
      </c>
    </row>
    <row r="684" spans="1:6">
      <c r="A684" s="52">
        <v>36908</v>
      </c>
      <c r="B684" s="53" t="s">
        <v>508</v>
      </c>
      <c r="C684" s="53" t="s">
        <v>506</v>
      </c>
      <c r="D684" s="53" t="s">
        <v>504</v>
      </c>
      <c r="E684" s="53" t="s">
        <v>494</v>
      </c>
      <c r="F684" s="53">
        <v>0.52</v>
      </c>
    </row>
    <row r="685" spans="1:6">
      <c r="A685" s="52">
        <v>36908</v>
      </c>
      <c r="B685" s="53" t="s">
        <v>509</v>
      </c>
      <c r="C685" s="53" t="s">
        <v>506</v>
      </c>
      <c r="D685" s="53" t="s">
        <v>504</v>
      </c>
      <c r="E685" s="53" t="s">
        <v>494</v>
      </c>
      <c r="F685" s="53">
        <v>0.57999999999999996</v>
      </c>
    </row>
    <row r="686" spans="1:6">
      <c r="A686" s="52">
        <v>36908</v>
      </c>
      <c r="B686" s="53" t="s">
        <v>508</v>
      </c>
      <c r="C686" s="53" t="s">
        <v>503</v>
      </c>
      <c r="D686" s="53" t="s">
        <v>505</v>
      </c>
      <c r="E686" s="53" t="s">
        <v>494</v>
      </c>
      <c r="F686" s="53">
        <v>0.35</v>
      </c>
    </row>
    <row r="687" spans="1:6">
      <c r="A687" s="52">
        <v>36908</v>
      </c>
      <c r="B687" s="53" t="s">
        <v>509</v>
      </c>
      <c r="C687" s="53" t="s">
        <v>503</v>
      </c>
      <c r="D687" s="53" t="s">
        <v>505</v>
      </c>
      <c r="E687" s="53" t="s">
        <v>494</v>
      </c>
      <c r="F687" s="53">
        <v>0.41</v>
      </c>
    </row>
    <row r="688" spans="1:6">
      <c r="A688" s="52">
        <v>36908</v>
      </c>
      <c r="B688" s="53" t="s">
        <v>508</v>
      </c>
      <c r="C688" s="53" t="s">
        <v>506</v>
      </c>
      <c r="D688" s="53" t="s">
        <v>505</v>
      </c>
      <c r="E688" s="53" t="s">
        <v>494</v>
      </c>
      <c r="F688" s="53">
        <v>0.52</v>
      </c>
    </row>
    <row r="689" spans="1:6">
      <c r="A689" s="52">
        <v>36908</v>
      </c>
      <c r="B689" s="53" t="s">
        <v>509</v>
      </c>
      <c r="C689" s="53" t="s">
        <v>506</v>
      </c>
      <c r="D689" s="53" t="s">
        <v>505</v>
      </c>
      <c r="E689" s="53" t="s">
        <v>494</v>
      </c>
      <c r="F689" s="53">
        <v>0.57999999999999996</v>
      </c>
    </row>
    <row r="690" spans="1:6">
      <c r="A690" s="52">
        <v>36908</v>
      </c>
      <c r="B690" s="53" t="s">
        <v>510</v>
      </c>
      <c r="C690" s="53" t="s">
        <v>503</v>
      </c>
      <c r="D690" s="53" t="s">
        <v>504</v>
      </c>
      <c r="E690" s="53" t="s">
        <v>494</v>
      </c>
      <c r="F690" s="53">
        <v>0.81</v>
      </c>
    </row>
    <row r="691" spans="1:6">
      <c r="A691" s="52">
        <v>36908</v>
      </c>
      <c r="B691" s="53" t="s">
        <v>510</v>
      </c>
      <c r="C691" s="53" t="s">
        <v>503</v>
      </c>
      <c r="D691" s="53" t="s">
        <v>505</v>
      </c>
      <c r="E691" s="53" t="s">
        <v>494</v>
      </c>
      <c r="F691" s="53">
        <v>0.81</v>
      </c>
    </row>
    <row r="692" spans="1:6">
      <c r="A692" s="52">
        <v>36908</v>
      </c>
      <c r="B692" s="53" t="s">
        <v>510</v>
      </c>
      <c r="C692" s="53" t="s">
        <v>506</v>
      </c>
      <c r="D692" s="53" t="s">
        <v>504</v>
      </c>
      <c r="E692" s="53" t="s">
        <v>494</v>
      </c>
      <c r="F692" s="53">
        <v>0.81</v>
      </c>
    </row>
    <row r="693" spans="1:6">
      <c r="A693" s="52">
        <v>36908</v>
      </c>
      <c r="B693" s="53" t="s">
        <v>510</v>
      </c>
      <c r="C693" s="53" t="s">
        <v>506</v>
      </c>
      <c r="D693" s="53" t="s">
        <v>505</v>
      </c>
      <c r="E693" s="53" t="s">
        <v>494</v>
      </c>
      <c r="F693" s="53">
        <v>0.81</v>
      </c>
    </row>
    <row r="694" spans="1:6">
      <c r="A694" s="52">
        <v>36908</v>
      </c>
      <c r="B694" s="53" t="s">
        <v>511</v>
      </c>
      <c r="C694" s="53" t="s">
        <v>503</v>
      </c>
      <c r="D694" s="53" t="s">
        <v>504</v>
      </c>
      <c r="E694" s="53" t="s">
        <v>494</v>
      </c>
      <c r="F694" s="53">
        <v>1.1599999999999999</v>
      </c>
    </row>
    <row r="695" spans="1:6">
      <c r="A695" s="52">
        <v>36908</v>
      </c>
      <c r="B695" s="53" t="s">
        <v>511</v>
      </c>
      <c r="C695" s="53" t="s">
        <v>503</v>
      </c>
      <c r="D695" s="53" t="s">
        <v>505</v>
      </c>
      <c r="E695" s="53" t="s">
        <v>494</v>
      </c>
      <c r="F695" s="53">
        <v>1.1599999999999999</v>
      </c>
    </row>
    <row r="696" spans="1:6">
      <c r="A696" s="52">
        <v>36908</v>
      </c>
      <c r="B696" s="53" t="s">
        <v>511</v>
      </c>
      <c r="C696" s="53" t="s">
        <v>506</v>
      </c>
      <c r="D696" s="53" t="s">
        <v>504</v>
      </c>
      <c r="E696" s="53" t="s">
        <v>494</v>
      </c>
      <c r="F696" s="53">
        <v>1.1599999999999999</v>
      </c>
    </row>
    <row r="697" spans="1:6">
      <c r="A697" s="52">
        <v>36908</v>
      </c>
      <c r="B697" s="53" t="s">
        <v>511</v>
      </c>
      <c r="C697" s="53" t="s">
        <v>506</v>
      </c>
      <c r="D697" s="53" t="s">
        <v>505</v>
      </c>
      <c r="E697" s="53" t="s">
        <v>494</v>
      </c>
      <c r="F697" s="53">
        <v>1.1599999999999999</v>
      </c>
    </row>
    <row r="698" spans="1:6">
      <c r="A698" s="52">
        <v>36908</v>
      </c>
      <c r="B698" s="53" t="s">
        <v>502</v>
      </c>
      <c r="C698" s="53" t="s">
        <v>503</v>
      </c>
      <c r="D698" s="53" t="s">
        <v>504</v>
      </c>
      <c r="E698" s="53" t="s">
        <v>493</v>
      </c>
      <c r="F698" s="53">
        <v>0.47</v>
      </c>
    </row>
    <row r="699" spans="1:6">
      <c r="A699" s="52">
        <v>36908</v>
      </c>
      <c r="B699" s="53" t="s">
        <v>502</v>
      </c>
      <c r="C699" s="53" t="s">
        <v>506</v>
      </c>
      <c r="D699" s="53" t="s">
        <v>504</v>
      </c>
      <c r="E699" s="53" t="s">
        <v>493</v>
      </c>
      <c r="F699" s="53">
        <v>0.64</v>
      </c>
    </row>
    <row r="700" spans="1:6">
      <c r="A700" s="52">
        <v>36908</v>
      </c>
      <c r="B700" s="53" t="s">
        <v>502</v>
      </c>
      <c r="C700" s="53" t="s">
        <v>503</v>
      </c>
      <c r="D700" s="53" t="s">
        <v>505</v>
      </c>
      <c r="E700" s="53" t="s">
        <v>493</v>
      </c>
      <c r="F700" s="53">
        <v>0.47</v>
      </c>
    </row>
    <row r="701" spans="1:6">
      <c r="A701" s="52">
        <v>36908</v>
      </c>
      <c r="B701" s="53" t="s">
        <v>502</v>
      </c>
      <c r="C701" s="53" t="s">
        <v>506</v>
      </c>
      <c r="D701" s="53" t="s">
        <v>505</v>
      </c>
      <c r="E701" s="53" t="s">
        <v>493</v>
      </c>
      <c r="F701" s="53">
        <v>0.64</v>
      </c>
    </row>
    <row r="702" spans="1:6">
      <c r="A702" s="52">
        <v>36908</v>
      </c>
      <c r="B702" s="53" t="s">
        <v>507</v>
      </c>
      <c r="C702" s="53" t="s">
        <v>503</v>
      </c>
      <c r="D702" s="53" t="s">
        <v>504</v>
      </c>
      <c r="E702" s="53" t="s">
        <v>493</v>
      </c>
      <c r="F702" s="53">
        <v>0.28999999999999998</v>
      </c>
    </row>
    <row r="703" spans="1:6">
      <c r="A703" s="52">
        <v>36908</v>
      </c>
      <c r="B703" s="53" t="s">
        <v>507</v>
      </c>
      <c r="C703" s="53" t="s">
        <v>506</v>
      </c>
      <c r="D703" s="53" t="s">
        <v>504</v>
      </c>
      <c r="E703" s="53" t="s">
        <v>493</v>
      </c>
      <c r="F703" s="53">
        <v>0.41</v>
      </c>
    </row>
    <row r="704" spans="1:6">
      <c r="A704" s="52">
        <v>36908</v>
      </c>
      <c r="B704" s="53" t="s">
        <v>507</v>
      </c>
      <c r="C704" s="53" t="s">
        <v>503</v>
      </c>
      <c r="D704" s="53" t="s">
        <v>505</v>
      </c>
      <c r="E704" s="53" t="s">
        <v>493</v>
      </c>
      <c r="F704" s="53">
        <v>0.28999999999999998</v>
      </c>
    </row>
    <row r="705" spans="1:6">
      <c r="A705" s="52">
        <v>36908</v>
      </c>
      <c r="B705" s="53" t="s">
        <v>507</v>
      </c>
      <c r="C705" s="53" t="s">
        <v>506</v>
      </c>
      <c r="D705" s="53" t="s">
        <v>505</v>
      </c>
      <c r="E705" s="53" t="s">
        <v>493</v>
      </c>
      <c r="F705" s="53">
        <v>0.41</v>
      </c>
    </row>
    <row r="706" spans="1:6">
      <c r="A706" s="52">
        <v>36908</v>
      </c>
      <c r="B706" s="53" t="s">
        <v>508</v>
      </c>
      <c r="C706" s="53" t="s">
        <v>503</v>
      </c>
      <c r="D706" s="53" t="s">
        <v>504</v>
      </c>
      <c r="E706" s="53" t="s">
        <v>493</v>
      </c>
      <c r="F706" s="53">
        <v>0.35</v>
      </c>
    </row>
    <row r="707" spans="1:6">
      <c r="A707" s="52">
        <v>36908</v>
      </c>
      <c r="B707" s="53" t="s">
        <v>509</v>
      </c>
      <c r="C707" s="53" t="s">
        <v>503</v>
      </c>
      <c r="D707" s="53" t="s">
        <v>504</v>
      </c>
      <c r="E707" s="53" t="s">
        <v>493</v>
      </c>
      <c r="F707" s="53">
        <v>0.41</v>
      </c>
    </row>
    <row r="708" spans="1:6">
      <c r="A708" s="52">
        <v>36908</v>
      </c>
      <c r="B708" s="53" t="s">
        <v>508</v>
      </c>
      <c r="C708" s="53" t="s">
        <v>506</v>
      </c>
      <c r="D708" s="53" t="s">
        <v>504</v>
      </c>
      <c r="E708" s="53" t="s">
        <v>493</v>
      </c>
      <c r="F708" s="53">
        <v>0.52</v>
      </c>
    </row>
    <row r="709" spans="1:6">
      <c r="A709" s="52">
        <v>36908</v>
      </c>
      <c r="B709" s="53" t="s">
        <v>509</v>
      </c>
      <c r="C709" s="53" t="s">
        <v>506</v>
      </c>
      <c r="D709" s="53" t="s">
        <v>504</v>
      </c>
      <c r="E709" s="53" t="s">
        <v>493</v>
      </c>
      <c r="F709" s="53">
        <v>0.57999999999999996</v>
      </c>
    </row>
    <row r="710" spans="1:6">
      <c r="A710" s="52">
        <v>36908</v>
      </c>
      <c r="B710" s="53" t="s">
        <v>508</v>
      </c>
      <c r="C710" s="53" t="s">
        <v>503</v>
      </c>
      <c r="D710" s="53" t="s">
        <v>505</v>
      </c>
      <c r="E710" s="53" t="s">
        <v>493</v>
      </c>
      <c r="F710" s="53">
        <v>0.35</v>
      </c>
    </row>
    <row r="711" spans="1:6">
      <c r="A711" s="52">
        <v>36908</v>
      </c>
      <c r="B711" s="53" t="s">
        <v>509</v>
      </c>
      <c r="C711" s="53" t="s">
        <v>503</v>
      </c>
      <c r="D711" s="53" t="s">
        <v>505</v>
      </c>
      <c r="E711" s="53" t="s">
        <v>493</v>
      </c>
      <c r="F711" s="53">
        <v>0.41</v>
      </c>
    </row>
    <row r="712" spans="1:6">
      <c r="A712" s="52">
        <v>36908</v>
      </c>
      <c r="B712" s="53" t="s">
        <v>508</v>
      </c>
      <c r="C712" s="53" t="s">
        <v>506</v>
      </c>
      <c r="D712" s="53" t="s">
        <v>505</v>
      </c>
      <c r="E712" s="53" t="s">
        <v>493</v>
      </c>
      <c r="F712" s="53">
        <v>0.52</v>
      </c>
    </row>
    <row r="713" spans="1:6">
      <c r="A713" s="52">
        <v>36908</v>
      </c>
      <c r="B713" s="53" t="s">
        <v>509</v>
      </c>
      <c r="C713" s="53" t="s">
        <v>506</v>
      </c>
      <c r="D713" s="53" t="s">
        <v>505</v>
      </c>
      <c r="E713" s="53" t="s">
        <v>493</v>
      </c>
      <c r="F713" s="53">
        <v>0.57999999999999996</v>
      </c>
    </row>
    <row r="714" spans="1:6">
      <c r="A714" s="52">
        <v>36908</v>
      </c>
      <c r="B714" s="53" t="s">
        <v>510</v>
      </c>
      <c r="C714" s="53" t="s">
        <v>503</v>
      </c>
      <c r="D714" s="53" t="s">
        <v>504</v>
      </c>
      <c r="E714" s="53" t="s">
        <v>493</v>
      </c>
      <c r="F714" s="53">
        <v>0.81</v>
      </c>
    </row>
    <row r="715" spans="1:6">
      <c r="A715" s="52">
        <v>36908</v>
      </c>
      <c r="B715" s="53" t="s">
        <v>510</v>
      </c>
      <c r="C715" s="53" t="s">
        <v>503</v>
      </c>
      <c r="D715" s="53" t="s">
        <v>505</v>
      </c>
      <c r="E715" s="53" t="s">
        <v>493</v>
      </c>
      <c r="F715" s="53">
        <v>0.81</v>
      </c>
    </row>
    <row r="716" spans="1:6">
      <c r="A716" s="52">
        <v>36908</v>
      </c>
      <c r="B716" s="53" t="s">
        <v>510</v>
      </c>
      <c r="C716" s="53" t="s">
        <v>506</v>
      </c>
      <c r="D716" s="53" t="s">
        <v>504</v>
      </c>
      <c r="E716" s="53" t="s">
        <v>493</v>
      </c>
      <c r="F716" s="53">
        <v>0.81</v>
      </c>
    </row>
    <row r="717" spans="1:6">
      <c r="A717" s="52">
        <v>36908</v>
      </c>
      <c r="B717" s="53" t="s">
        <v>510</v>
      </c>
      <c r="C717" s="53" t="s">
        <v>506</v>
      </c>
      <c r="D717" s="53" t="s">
        <v>505</v>
      </c>
      <c r="E717" s="53" t="s">
        <v>493</v>
      </c>
      <c r="F717" s="53">
        <v>0.81</v>
      </c>
    </row>
    <row r="718" spans="1:6">
      <c r="A718" s="52">
        <v>36908</v>
      </c>
      <c r="B718" s="53" t="s">
        <v>511</v>
      </c>
      <c r="C718" s="53" t="s">
        <v>503</v>
      </c>
      <c r="D718" s="53" t="s">
        <v>504</v>
      </c>
      <c r="E718" s="53" t="s">
        <v>493</v>
      </c>
      <c r="F718" s="53">
        <v>1.1599999999999999</v>
      </c>
    </row>
    <row r="719" spans="1:6">
      <c r="A719" s="52">
        <v>36908</v>
      </c>
      <c r="B719" s="53" t="s">
        <v>511</v>
      </c>
      <c r="C719" s="53" t="s">
        <v>503</v>
      </c>
      <c r="D719" s="53" t="s">
        <v>505</v>
      </c>
      <c r="E719" s="53" t="s">
        <v>493</v>
      </c>
      <c r="F719" s="53">
        <v>1.1599999999999999</v>
      </c>
    </row>
    <row r="720" spans="1:6">
      <c r="A720" s="52">
        <v>36908</v>
      </c>
      <c r="B720" s="53" t="s">
        <v>511</v>
      </c>
      <c r="C720" s="53" t="s">
        <v>506</v>
      </c>
      <c r="D720" s="53" t="s">
        <v>504</v>
      </c>
      <c r="E720" s="53" t="s">
        <v>493</v>
      </c>
      <c r="F720" s="53">
        <v>1.1599999999999999</v>
      </c>
    </row>
    <row r="721" spans="1:6">
      <c r="A721" s="52">
        <v>36908</v>
      </c>
      <c r="B721" s="53" t="s">
        <v>511</v>
      </c>
      <c r="C721" s="53" t="s">
        <v>506</v>
      </c>
      <c r="D721" s="53" t="s">
        <v>505</v>
      </c>
      <c r="E721" s="53" t="s">
        <v>493</v>
      </c>
      <c r="F721" s="53">
        <v>1.1599999999999999</v>
      </c>
    </row>
    <row r="722" spans="1:6">
      <c r="A722" s="52">
        <v>36908</v>
      </c>
      <c r="B722" s="53" t="s">
        <v>502</v>
      </c>
      <c r="C722" s="53" t="s">
        <v>503</v>
      </c>
      <c r="D722" s="53" t="s">
        <v>504</v>
      </c>
      <c r="E722" s="53" t="s">
        <v>495</v>
      </c>
      <c r="F722" s="53">
        <v>0.57999999999999996</v>
      </c>
    </row>
    <row r="723" spans="1:6">
      <c r="A723" s="52">
        <v>36908</v>
      </c>
      <c r="B723" s="53" t="s">
        <v>502</v>
      </c>
      <c r="C723" s="53" t="s">
        <v>506</v>
      </c>
      <c r="D723" s="53" t="s">
        <v>504</v>
      </c>
      <c r="E723" s="53" t="s">
        <v>495</v>
      </c>
      <c r="F723" s="53">
        <v>0.81</v>
      </c>
    </row>
    <row r="724" spans="1:6">
      <c r="A724" s="52">
        <v>36908</v>
      </c>
      <c r="B724" s="53" t="s">
        <v>502</v>
      </c>
      <c r="C724" s="53" t="s">
        <v>503</v>
      </c>
      <c r="D724" s="53" t="s">
        <v>505</v>
      </c>
      <c r="E724" s="53" t="s">
        <v>495</v>
      </c>
      <c r="F724" s="53">
        <v>0.57999999999999996</v>
      </c>
    </row>
    <row r="725" spans="1:6">
      <c r="A725" s="52">
        <v>36908</v>
      </c>
      <c r="B725" s="53" t="s">
        <v>502</v>
      </c>
      <c r="C725" s="53" t="s">
        <v>506</v>
      </c>
      <c r="D725" s="53" t="s">
        <v>505</v>
      </c>
      <c r="E725" s="53" t="s">
        <v>495</v>
      </c>
      <c r="F725" s="53">
        <v>0.81</v>
      </c>
    </row>
    <row r="726" spans="1:6">
      <c r="A726" s="52">
        <v>36908</v>
      </c>
      <c r="B726" s="53" t="s">
        <v>507</v>
      </c>
      <c r="C726" s="53" t="s">
        <v>503</v>
      </c>
      <c r="D726" s="53" t="s">
        <v>504</v>
      </c>
      <c r="E726" s="53" t="s">
        <v>495</v>
      </c>
      <c r="F726" s="53">
        <v>0.35</v>
      </c>
    </row>
    <row r="727" spans="1:6">
      <c r="A727" s="52">
        <v>36908</v>
      </c>
      <c r="B727" s="53" t="s">
        <v>507</v>
      </c>
      <c r="C727" s="53" t="s">
        <v>506</v>
      </c>
      <c r="D727" s="53" t="s">
        <v>504</v>
      </c>
      <c r="E727" s="53" t="s">
        <v>495</v>
      </c>
      <c r="F727" s="53">
        <v>0.52</v>
      </c>
    </row>
    <row r="728" spans="1:6">
      <c r="A728" s="52">
        <v>36908</v>
      </c>
      <c r="B728" s="53" t="s">
        <v>507</v>
      </c>
      <c r="C728" s="53" t="s">
        <v>503</v>
      </c>
      <c r="D728" s="53" t="s">
        <v>505</v>
      </c>
      <c r="E728" s="53" t="s">
        <v>495</v>
      </c>
      <c r="F728" s="53">
        <v>0.35</v>
      </c>
    </row>
    <row r="729" spans="1:6">
      <c r="A729" s="52">
        <v>36908</v>
      </c>
      <c r="B729" s="53" t="s">
        <v>507</v>
      </c>
      <c r="C729" s="53" t="s">
        <v>506</v>
      </c>
      <c r="D729" s="53" t="s">
        <v>505</v>
      </c>
      <c r="E729" s="53" t="s">
        <v>495</v>
      </c>
      <c r="F729" s="53">
        <v>0.52</v>
      </c>
    </row>
    <row r="730" spans="1:6">
      <c r="A730" s="52">
        <v>36908</v>
      </c>
      <c r="B730" s="53" t="s">
        <v>508</v>
      </c>
      <c r="C730" s="53" t="s">
        <v>503</v>
      </c>
      <c r="D730" s="53" t="s">
        <v>504</v>
      </c>
      <c r="E730" s="53" t="s">
        <v>495</v>
      </c>
      <c r="F730" s="53">
        <v>0.41</v>
      </c>
    </row>
    <row r="731" spans="1:6">
      <c r="A731" s="52">
        <v>36908</v>
      </c>
      <c r="B731" s="53" t="s">
        <v>509</v>
      </c>
      <c r="C731" s="53" t="s">
        <v>503</v>
      </c>
      <c r="D731" s="53" t="s">
        <v>504</v>
      </c>
      <c r="E731" s="53" t="s">
        <v>495</v>
      </c>
      <c r="F731" s="53">
        <v>0.47</v>
      </c>
    </row>
    <row r="732" spans="1:6">
      <c r="A732" s="52">
        <v>36908</v>
      </c>
      <c r="B732" s="53" t="s">
        <v>508</v>
      </c>
      <c r="C732" s="53" t="s">
        <v>506</v>
      </c>
      <c r="D732" s="53" t="s">
        <v>504</v>
      </c>
      <c r="E732" s="53" t="s">
        <v>495</v>
      </c>
      <c r="F732" s="53">
        <v>0.57999999999999996</v>
      </c>
    </row>
    <row r="733" spans="1:6">
      <c r="A733" s="52">
        <v>36908</v>
      </c>
      <c r="B733" s="53" t="s">
        <v>509</v>
      </c>
      <c r="C733" s="53" t="s">
        <v>506</v>
      </c>
      <c r="D733" s="53" t="s">
        <v>504</v>
      </c>
      <c r="E733" s="53" t="s">
        <v>495</v>
      </c>
      <c r="F733" s="53">
        <v>0.64</v>
      </c>
    </row>
    <row r="734" spans="1:6">
      <c r="A734" s="52">
        <v>36908</v>
      </c>
      <c r="B734" s="53" t="s">
        <v>508</v>
      </c>
      <c r="C734" s="53" t="s">
        <v>503</v>
      </c>
      <c r="D734" s="53" t="s">
        <v>505</v>
      </c>
      <c r="E734" s="53" t="s">
        <v>495</v>
      </c>
      <c r="F734" s="53">
        <v>0.41</v>
      </c>
    </row>
    <row r="735" spans="1:6">
      <c r="A735" s="52">
        <v>36908</v>
      </c>
      <c r="B735" s="53" t="s">
        <v>509</v>
      </c>
      <c r="C735" s="53" t="s">
        <v>503</v>
      </c>
      <c r="D735" s="53" t="s">
        <v>505</v>
      </c>
      <c r="E735" s="53" t="s">
        <v>495</v>
      </c>
      <c r="F735" s="53">
        <v>0.47</v>
      </c>
    </row>
    <row r="736" spans="1:6">
      <c r="A736" s="52">
        <v>36908</v>
      </c>
      <c r="B736" s="53" t="s">
        <v>508</v>
      </c>
      <c r="C736" s="53" t="s">
        <v>506</v>
      </c>
      <c r="D736" s="53" t="s">
        <v>505</v>
      </c>
      <c r="E736" s="53" t="s">
        <v>495</v>
      </c>
      <c r="F736" s="53">
        <v>0.57999999999999996</v>
      </c>
    </row>
    <row r="737" spans="1:6">
      <c r="A737" s="52">
        <v>36908</v>
      </c>
      <c r="B737" s="53" t="s">
        <v>509</v>
      </c>
      <c r="C737" s="53" t="s">
        <v>506</v>
      </c>
      <c r="D737" s="53" t="s">
        <v>505</v>
      </c>
      <c r="E737" s="53" t="s">
        <v>495</v>
      </c>
      <c r="F737" s="53">
        <v>0.64</v>
      </c>
    </row>
    <row r="738" spans="1:6">
      <c r="A738" s="52">
        <v>36908</v>
      </c>
      <c r="B738" s="53" t="s">
        <v>510</v>
      </c>
      <c r="C738" s="53" t="s">
        <v>503</v>
      </c>
      <c r="D738" s="53" t="s">
        <v>504</v>
      </c>
      <c r="E738" s="53" t="s">
        <v>495</v>
      </c>
      <c r="F738" s="53">
        <v>0.81</v>
      </c>
    </row>
    <row r="739" spans="1:6">
      <c r="A739" s="52">
        <v>36908</v>
      </c>
      <c r="B739" s="53" t="s">
        <v>510</v>
      </c>
      <c r="C739" s="53" t="s">
        <v>503</v>
      </c>
      <c r="D739" s="53" t="s">
        <v>505</v>
      </c>
      <c r="E739" s="53" t="s">
        <v>495</v>
      </c>
      <c r="F739" s="53">
        <v>0.81</v>
      </c>
    </row>
    <row r="740" spans="1:6">
      <c r="A740" s="52">
        <v>36908</v>
      </c>
      <c r="B740" s="53" t="s">
        <v>510</v>
      </c>
      <c r="C740" s="53" t="s">
        <v>506</v>
      </c>
      <c r="D740" s="53" t="s">
        <v>504</v>
      </c>
      <c r="E740" s="53" t="s">
        <v>495</v>
      </c>
      <c r="F740" s="53">
        <v>0.81</v>
      </c>
    </row>
    <row r="741" spans="1:6">
      <c r="A741" s="52">
        <v>36908</v>
      </c>
      <c r="B741" s="53" t="s">
        <v>510</v>
      </c>
      <c r="C741" s="53" t="s">
        <v>506</v>
      </c>
      <c r="D741" s="53" t="s">
        <v>505</v>
      </c>
      <c r="E741" s="53" t="s">
        <v>495</v>
      </c>
      <c r="F741" s="53">
        <v>0.81</v>
      </c>
    </row>
    <row r="742" spans="1:6">
      <c r="A742" s="52">
        <v>36908</v>
      </c>
      <c r="B742" s="53" t="s">
        <v>511</v>
      </c>
      <c r="C742" s="53" t="s">
        <v>503</v>
      </c>
      <c r="D742" s="53" t="s">
        <v>504</v>
      </c>
      <c r="E742" s="53" t="s">
        <v>495</v>
      </c>
      <c r="F742" s="53">
        <v>1.1599999999999999</v>
      </c>
    </row>
    <row r="743" spans="1:6">
      <c r="A743" s="52">
        <v>36908</v>
      </c>
      <c r="B743" s="53" t="s">
        <v>511</v>
      </c>
      <c r="C743" s="53" t="s">
        <v>503</v>
      </c>
      <c r="D743" s="53" t="s">
        <v>505</v>
      </c>
      <c r="E743" s="53" t="s">
        <v>495</v>
      </c>
      <c r="F743" s="53">
        <v>1.1599999999999999</v>
      </c>
    </row>
    <row r="744" spans="1:6">
      <c r="A744" s="52">
        <v>36908</v>
      </c>
      <c r="B744" s="53" t="s">
        <v>511</v>
      </c>
      <c r="C744" s="53" t="s">
        <v>506</v>
      </c>
      <c r="D744" s="53" t="s">
        <v>504</v>
      </c>
      <c r="E744" s="53" t="s">
        <v>495</v>
      </c>
      <c r="F744" s="53">
        <v>1.1599999999999999</v>
      </c>
    </row>
    <row r="745" spans="1:6">
      <c r="A745" s="52">
        <v>36908</v>
      </c>
      <c r="B745" s="53" t="s">
        <v>511</v>
      </c>
      <c r="C745" s="53" t="s">
        <v>506</v>
      </c>
      <c r="D745" s="53" t="s">
        <v>505</v>
      </c>
      <c r="E745" s="53" t="s">
        <v>495</v>
      </c>
      <c r="F745" s="53">
        <v>1.1599999999999999</v>
      </c>
    </row>
    <row r="746" spans="1:6">
      <c r="A746" s="52">
        <v>36908</v>
      </c>
      <c r="B746" s="53" t="s">
        <v>502</v>
      </c>
      <c r="C746" s="53" t="s">
        <v>503</v>
      </c>
      <c r="D746" s="53" t="s">
        <v>504</v>
      </c>
      <c r="E746" s="53" t="s">
        <v>496</v>
      </c>
      <c r="F746" s="53">
        <v>0.76</v>
      </c>
    </row>
    <row r="747" spans="1:6">
      <c r="A747" s="52">
        <v>36908</v>
      </c>
      <c r="B747" s="53" t="s">
        <v>502</v>
      </c>
      <c r="C747" s="53" t="s">
        <v>506</v>
      </c>
      <c r="D747" s="53" t="s">
        <v>504</v>
      </c>
      <c r="E747" s="53" t="s">
        <v>496</v>
      </c>
      <c r="F747" s="53">
        <v>1.1000000000000001</v>
      </c>
    </row>
    <row r="748" spans="1:6">
      <c r="A748" s="52">
        <v>36908</v>
      </c>
      <c r="B748" s="53" t="s">
        <v>502</v>
      </c>
      <c r="C748" s="53" t="s">
        <v>503</v>
      </c>
      <c r="D748" s="53" t="s">
        <v>505</v>
      </c>
      <c r="E748" s="53" t="s">
        <v>496</v>
      </c>
      <c r="F748" s="53">
        <v>0.76</v>
      </c>
    </row>
    <row r="749" spans="1:6">
      <c r="A749" s="52">
        <v>36908</v>
      </c>
      <c r="B749" s="53" t="s">
        <v>502</v>
      </c>
      <c r="C749" s="53" t="s">
        <v>506</v>
      </c>
      <c r="D749" s="53" t="s">
        <v>505</v>
      </c>
      <c r="E749" s="53" t="s">
        <v>496</v>
      </c>
      <c r="F749" s="53">
        <v>1.1000000000000001</v>
      </c>
    </row>
    <row r="750" spans="1:6">
      <c r="A750" s="52">
        <v>36908</v>
      </c>
      <c r="B750" s="53" t="s">
        <v>507</v>
      </c>
      <c r="C750" s="53" t="s">
        <v>503</v>
      </c>
      <c r="D750" s="53" t="s">
        <v>504</v>
      </c>
      <c r="E750" s="53" t="s">
        <v>496</v>
      </c>
      <c r="F750" s="53">
        <v>0.41</v>
      </c>
    </row>
    <row r="751" spans="1:6">
      <c r="A751" s="52">
        <v>36908</v>
      </c>
      <c r="B751" s="53" t="s">
        <v>507</v>
      </c>
      <c r="C751" s="53" t="s">
        <v>506</v>
      </c>
      <c r="D751" s="53" t="s">
        <v>504</v>
      </c>
      <c r="E751" s="53" t="s">
        <v>496</v>
      </c>
      <c r="F751" s="53">
        <v>0.57999999999999996</v>
      </c>
    </row>
    <row r="752" spans="1:6">
      <c r="A752" s="52">
        <v>36908</v>
      </c>
      <c r="B752" s="53" t="s">
        <v>507</v>
      </c>
      <c r="C752" s="53" t="s">
        <v>503</v>
      </c>
      <c r="D752" s="53" t="s">
        <v>505</v>
      </c>
      <c r="E752" s="53" t="s">
        <v>496</v>
      </c>
      <c r="F752" s="53">
        <v>0.41</v>
      </c>
    </row>
    <row r="753" spans="1:6">
      <c r="A753" s="52">
        <v>36908</v>
      </c>
      <c r="B753" s="53" t="s">
        <v>507</v>
      </c>
      <c r="C753" s="53" t="s">
        <v>506</v>
      </c>
      <c r="D753" s="53" t="s">
        <v>505</v>
      </c>
      <c r="E753" s="53" t="s">
        <v>496</v>
      </c>
      <c r="F753" s="53">
        <v>0.57999999999999996</v>
      </c>
    </row>
    <row r="754" spans="1:6">
      <c r="A754" s="52">
        <v>36908</v>
      </c>
      <c r="B754" s="53" t="s">
        <v>508</v>
      </c>
      <c r="C754" s="53" t="s">
        <v>503</v>
      </c>
      <c r="D754" s="53" t="s">
        <v>504</v>
      </c>
      <c r="E754" s="53" t="s">
        <v>496</v>
      </c>
      <c r="F754" s="53">
        <v>0.47</v>
      </c>
    </row>
    <row r="755" spans="1:6">
      <c r="A755" s="52">
        <v>36908</v>
      </c>
      <c r="B755" s="53" t="s">
        <v>509</v>
      </c>
      <c r="C755" s="53" t="s">
        <v>503</v>
      </c>
      <c r="D755" s="53" t="s">
        <v>504</v>
      </c>
      <c r="E755" s="53" t="s">
        <v>496</v>
      </c>
      <c r="F755" s="53">
        <v>0.52</v>
      </c>
    </row>
    <row r="756" spans="1:6">
      <c r="A756" s="52">
        <v>36908</v>
      </c>
      <c r="B756" s="53" t="s">
        <v>508</v>
      </c>
      <c r="C756" s="53" t="s">
        <v>506</v>
      </c>
      <c r="D756" s="53" t="s">
        <v>504</v>
      </c>
      <c r="E756" s="53" t="s">
        <v>496</v>
      </c>
      <c r="F756" s="53">
        <v>0.64</v>
      </c>
    </row>
    <row r="757" spans="1:6">
      <c r="A757" s="52">
        <v>36908</v>
      </c>
      <c r="B757" s="53" t="s">
        <v>509</v>
      </c>
      <c r="C757" s="53" t="s">
        <v>506</v>
      </c>
      <c r="D757" s="53" t="s">
        <v>504</v>
      </c>
      <c r="E757" s="53" t="s">
        <v>496</v>
      </c>
      <c r="F757" s="53">
        <v>0.76</v>
      </c>
    </row>
    <row r="758" spans="1:6">
      <c r="A758" s="52">
        <v>36908</v>
      </c>
      <c r="B758" s="53" t="s">
        <v>508</v>
      </c>
      <c r="C758" s="53" t="s">
        <v>503</v>
      </c>
      <c r="D758" s="53" t="s">
        <v>505</v>
      </c>
      <c r="E758" s="53" t="s">
        <v>496</v>
      </c>
      <c r="F758" s="53">
        <v>0.47</v>
      </c>
    </row>
    <row r="759" spans="1:6">
      <c r="A759" s="52">
        <v>36908</v>
      </c>
      <c r="B759" s="53" t="s">
        <v>509</v>
      </c>
      <c r="C759" s="53" t="s">
        <v>503</v>
      </c>
      <c r="D759" s="53" t="s">
        <v>505</v>
      </c>
      <c r="E759" s="53" t="s">
        <v>496</v>
      </c>
      <c r="F759" s="53">
        <v>0.52</v>
      </c>
    </row>
    <row r="760" spans="1:6">
      <c r="A760" s="52">
        <v>36908</v>
      </c>
      <c r="B760" s="53" t="s">
        <v>508</v>
      </c>
      <c r="C760" s="53" t="s">
        <v>506</v>
      </c>
      <c r="D760" s="53" t="s">
        <v>505</v>
      </c>
      <c r="E760" s="53" t="s">
        <v>496</v>
      </c>
      <c r="F760" s="53">
        <v>0.64</v>
      </c>
    </row>
    <row r="761" spans="1:6">
      <c r="A761" s="52">
        <v>36908</v>
      </c>
      <c r="B761" s="53" t="s">
        <v>509</v>
      </c>
      <c r="C761" s="53" t="s">
        <v>506</v>
      </c>
      <c r="D761" s="53" t="s">
        <v>505</v>
      </c>
      <c r="E761" s="53" t="s">
        <v>496</v>
      </c>
      <c r="F761" s="53">
        <v>0.76</v>
      </c>
    </row>
    <row r="762" spans="1:6">
      <c r="A762" s="52">
        <v>36908</v>
      </c>
      <c r="B762" s="53" t="s">
        <v>510</v>
      </c>
      <c r="C762" s="53" t="s">
        <v>503</v>
      </c>
      <c r="D762" s="53" t="s">
        <v>504</v>
      </c>
      <c r="E762" s="53" t="s">
        <v>496</v>
      </c>
      <c r="F762" s="53">
        <v>0.81</v>
      </c>
    </row>
    <row r="763" spans="1:6">
      <c r="A763" s="52">
        <v>36908</v>
      </c>
      <c r="B763" s="53" t="s">
        <v>510</v>
      </c>
      <c r="C763" s="53" t="s">
        <v>503</v>
      </c>
      <c r="D763" s="53" t="s">
        <v>505</v>
      </c>
      <c r="E763" s="53" t="s">
        <v>496</v>
      </c>
      <c r="F763" s="53">
        <v>0.81</v>
      </c>
    </row>
    <row r="764" spans="1:6">
      <c r="A764" s="52">
        <v>36908</v>
      </c>
      <c r="B764" s="53" t="s">
        <v>510</v>
      </c>
      <c r="C764" s="53" t="s">
        <v>506</v>
      </c>
      <c r="D764" s="53" t="s">
        <v>504</v>
      </c>
      <c r="E764" s="53" t="s">
        <v>496</v>
      </c>
      <c r="F764" s="53">
        <v>0.81</v>
      </c>
    </row>
    <row r="765" spans="1:6">
      <c r="A765" s="52">
        <v>36908</v>
      </c>
      <c r="B765" s="53" t="s">
        <v>510</v>
      </c>
      <c r="C765" s="53" t="s">
        <v>506</v>
      </c>
      <c r="D765" s="53" t="s">
        <v>505</v>
      </c>
      <c r="E765" s="53" t="s">
        <v>496</v>
      </c>
      <c r="F765" s="53">
        <v>0.81</v>
      </c>
    </row>
    <row r="766" spans="1:6">
      <c r="A766" s="52">
        <v>36908</v>
      </c>
      <c r="B766" s="53" t="s">
        <v>511</v>
      </c>
      <c r="C766" s="53" t="s">
        <v>503</v>
      </c>
      <c r="D766" s="53" t="s">
        <v>504</v>
      </c>
      <c r="E766" s="53" t="s">
        <v>496</v>
      </c>
      <c r="F766" s="53">
        <v>1.1599999999999999</v>
      </c>
    </row>
    <row r="767" spans="1:6">
      <c r="A767" s="52">
        <v>36908</v>
      </c>
      <c r="B767" s="53" t="s">
        <v>511</v>
      </c>
      <c r="C767" s="53" t="s">
        <v>503</v>
      </c>
      <c r="D767" s="53" t="s">
        <v>505</v>
      </c>
      <c r="E767" s="53" t="s">
        <v>496</v>
      </c>
      <c r="F767" s="53">
        <v>1.1599999999999999</v>
      </c>
    </row>
    <row r="768" spans="1:6">
      <c r="A768" s="52">
        <v>36908</v>
      </c>
      <c r="B768" s="53" t="s">
        <v>511</v>
      </c>
      <c r="C768" s="53" t="s">
        <v>506</v>
      </c>
      <c r="D768" s="53" t="s">
        <v>504</v>
      </c>
      <c r="E768" s="53" t="s">
        <v>496</v>
      </c>
      <c r="F768" s="53">
        <v>1.1599999999999999</v>
      </c>
    </row>
    <row r="769" spans="1:6">
      <c r="A769" s="52">
        <v>36908</v>
      </c>
      <c r="B769" s="53" t="s">
        <v>511</v>
      </c>
      <c r="C769" s="53" t="s">
        <v>506</v>
      </c>
      <c r="D769" s="53" t="s">
        <v>505</v>
      </c>
      <c r="E769" s="53" t="s">
        <v>496</v>
      </c>
      <c r="F769" s="53">
        <v>1.1599999999999999</v>
      </c>
    </row>
    <row r="770" spans="1:6">
      <c r="A770" s="52">
        <v>35104</v>
      </c>
      <c r="B770" s="53" t="s">
        <v>502</v>
      </c>
      <c r="C770" s="53" t="s">
        <v>503</v>
      </c>
      <c r="D770" s="53" t="s">
        <v>504</v>
      </c>
      <c r="E770" s="53" t="s">
        <v>494</v>
      </c>
      <c r="F770" s="53">
        <v>0.57999999999999996</v>
      </c>
    </row>
    <row r="771" spans="1:6">
      <c r="A771" s="52">
        <v>35104</v>
      </c>
      <c r="B771" s="53" t="s">
        <v>502</v>
      </c>
      <c r="C771" s="53" t="s">
        <v>506</v>
      </c>
      <c r="D771" s="53" t="s">
        <v>504</v>
      </c>
      <c r="E771" s="53" t="s">
        <v>494</v>
      </c>
      <c r="F771" s="53">
        <v>0.57999999999999996</v>
      </c>
    </row>
    <row r="772" spans="1:6">
      <c r="A772" s="52">
        <v>35104</v>
      </c>
      <c r="B772" s="53" t="s">
        <v>502</v>
      </c>
      <c r="C772" s="53" t="s">
        <v>503</v>
      </c>
      <c r="D772" s="53" t="s">
        <v>505</v>
      </c>
      <c r="E772" s="53" t="s">
        <v>494</v>
      </c>
      <c r="F772" s="53">
        <v>0.57999999999999996</v>
      </c>
    </row>
    <row r="773" spans="1:6">
      <c r="A773" s="52">
        <v>35104</v>
      </c>
      <c r="B773" s="53" t="s">
        <v>502</v>
      </c>
      <c r="C773" s="53" t="s">
        <v>506</v>
      </c>
      <c r="D773" s="53" t="s">
        <v>505</v>
      </c>
      <c r="E773" s="53" t="s">
        <v>494</v>
      </c>
      <c r="F773" s="53">
        <v>0.57999999999999996</v>
      </c>
    </row>
    <row r="774" spans="1:6">
      <c r="A774" s="52">
        <v>35104</v>
      </c>
      <c r="B774" s="53" t="s">
        <v>507</v>
      </c>
      <c r="C774" s="53" t="s">
        <v>503</v>
      </c>
      <c r="D774" s="53" t="s">
        <v>504</v>
      </c>
      <c r="E774" s="53" t="s">
        <v>494</v>
      </c>
      <c r="F774" s="53">
        <v>0.41</v>
      </c>
    </row>
    <row r="775" spans="1:6">
      <c r="A775" s="52">
        <v>35104</v>
      </c>
      <c r="B775" s="53" t="s">
        <v>507</v>
      </c>
      <c r="C775" s="53" t="s">
        <v>506</v>
      </c>
      <c r="D775" s="53" t="s">
        <v>504</v>
      </c>
      <c r="E775" s="53" t="s">
        <v>494</v>
      </c>
      <c r="F775" s="53">
        <v>0.41</v>
      </c>
    </row>
    <row r="776" spans="1:6">
      <c r="A776" s="52">
        <v>35104</v>
      </c>
      <c r="B776" s="53" t="s">
        <v>507</v>
      </c>
      <c r="C776" s="53" t="s">
        <v>503</v>
      </c>
      <c r="D776" s="53" t="s">
        <v>505</v>
      </c>
      <c r="E776" s="53" t="s">
        <v>494</v>
      </c>
      <c r="F776" s="53">
        <v>0.41</v>
      </c>
    </row>
    <row r="777" spans="1:6">
      <c r="A777" s="52">
        <v>35104</v>
      </c>
      <c r="B777" s="53" t="s">
        <v>507</v>
      </c>
      <c r="C777" s="53" t="s">
        <v>506</v>
      </c>
      <c r="D777" s="53" t="s">
        <v>505</v>
      </c>
      <c r="E777" s="53" t="s">
        <v>494</v>
      </c>
      <c r="F777" s="53">
        <v>0.41</v>
      </c>
    </row>
    <row r="778" spans="1:6">
      <c r="A778" s="52">
        <v>35104</v>
      </c>
      <c r="B778" s="53" t="s">
        <v>508</v>
      </c>
      <c r="C778" s="53" t="s">
        <v>503</v>
      </c>
      <c r="D778" s="53" t="s">
        <v>504</v>
      </c>
      <c r="E778" s="53" t="s">
        <v>494</v>
      </c>
      <c r="F778" s="53">
        <v>0.57999999999999996</v>
      </c>
    </row>
    <row r="779" spans="1:6">
      <c r="A779" s="52">
        <v>35104</v>
      </c>
      <c r="B779" s="53" t="s">
        <v>509</v>
      </c>
      <c r="C779" s="53" t="s">
        <v>503</v>
      </c>
      <c r="D779" s="53" t="s">
        <v>504</v>
      </c>
      <c r="E779" s="53" t="s">
        <v>494</v>
      </c>
      <c r="F779" s="53">
        <v>0.57999999999999996</v>
      </c>
    </row>
    <row r="780" spans="1:6">
      <c r="A780" s="52">
        <v>35104</v>
      </c>
      <c r="B780" s="53" t="s">
        <v>508</v>
      </c>
      <c r="C780" s="53" t="s">
        <v>506</v>
      </c>
      <c r="D780" s="53" t="s">
        <v>504</v>
      </c>
      <c r="E780" s="53" t="s">
        <v>494</v>
      </c>
      <c r="F780" s="53">
        <v>0.57999999999999996</v>
      </c>
    </row>
    <row r="781" spans="1:6">
      <c r="A781" s="52">
        <v>35104</v>
      </c>
      <c r="B781" s="53" t="s">
        <v>509</v>
      </c>
      <c r="C781" s="53" t="s">
        <v>506</v>
      </c>
      <c r="D781" s="53" t="s">
        <v>504</v>
      </c>
      <c r="E781" s="53" t="s">
        <v>494</v>
      </c>
      <c r="F781" s="53">
        <v>0.57999999999999996</v>
      </c>
    </row>
    <row r="782" spans="1:6">
      <c r="A782" s="52">
        <v>35104</v>
      </c>
      <c r="B782" s="53" t="s">
        <v>508</v>
      </c>
      <c r="C782" s="53" t="s">
        <v>503</v>
      </c>
      <c r="D782" s="53" t="s">
        <v>505</v>
      </c>
      <c r="E782" s="53" t="s">
        <v>494</v>
      </c>
      <c r="F782" s="53">
        <v>0.57999999999999996</v>
      </c>
    </row>
    <row r="783" spans="1:6">
      <c r="A783" s="52">
        <v>35104</v>
      </c>
      <c r="B783" s="53" t="s">
        <v>509</v>
      </c>
      <c r="C783" s="53" t="s">
        <v>503</v>
      </c>
      <c r="D783" s="53" t="s">
        <v>505</v>
      </c>
      <c r="E783" s="53" t="s">
        <v>494</v>
      </c>
      <c r="F783" s="53">
        <v>0.57999999999999996</v>
      </c>
    </row>
    <row r="784" spans="1:6">
      <c r="A784" s="52">
        <v>35104</v>
      </c>
      <c r="B784" s="53" t="s">
        <v>508</v>
      </c>
      <c r="C784" s="53" t="s">
        <v>506</v>
      </c>
      <c r="D784" s="53" t="s">
        <v>505</v>
      </c>
      <c r="E784" s="53" t="s">
        <v>494</v>
      </c>
      <c r="F784" s="53">
        <v>0.57999999999999996</v>
      </c>
    </row>
    <row r="785" spans="1:6">
      <c r="A785" s="52">
        <v>35104</v>
      </c>
      <c r="B785" s="53" t="s">
        <v>509</v>
      </c>
      <c r="C785" s="53" t="s">
        <v>506</v>
      </c>
      <c r="D785" s="53" t="s">
        <v>505</v>
      </c>
      <c r="E785" s="53" t="s">
        <v>494</v>
      </c>
      <c r="F785" s="53">
        <v>0.57999999999999996</v>
      </c>
    </row>
    <row r="786" spans="1:6">
      <c r="A786" s="52">
        <v>35104</v>
      </c>
      <c r="B786" s="53" t="s">
        <v>510</v>
      </c>
      <c r="C786" s="53" t="s">
        <v>503</v>
      </c>
      <c r="D786" s="53" t="s">
        <v>504</v>
      </c>
      <c r="E786" s="53" t="s">
        <v>494</v>
      </c>
      <c r="F786" s="53">
        <v>0.57999999999999996</v>
      </c>
    </row>
    <row r="787" spans="1:6">
      <c r="A787" s="52">
        <v>35104</v>
      </c>
      <c r="B787" s="53" t="s">
        <v>510</v>
      </c>
      <c r="C787" s="53" t="s">
        <v>503</v>
      </c>
      <c r="D787" s="53" t="s">
        <v>505</v>
      </c>
      <c r="E787" s="53" t="s">
        <v>494</v>
      </c>
      <c r="F787" s="53">
        <v>0.57999999999999996</v>
      </c>
    </row>
    <row r="788" spans="1:6">
      <c r="A788" s="52">
        <v>35104</v>
      </c>
      <c r="B788" s="53" t="s">
        <v>510</v>
      </c>
      <c r="C788" s="53" t="s">
        <v>506</v>
      </c>
      <c r="D788" s="53" t="s">
        <v>504</v>
      </c>
      <c r="E788" s="53" t="s">
        <v>494</v>
      </c>
      <c r="F788" s="53">
        <v>0.57999999999999996</v>
      </c>
    </row>
    <row r="789" spans="1:6">
      <c r="A789" s="52">
        <v>35104</v>
      </c>
      <c r="B789" s="53" t="s">
        <v>510</v>
      </c>
      <c r="C789" s="53" t="s">
        <v>506</v>
      </c>
      <c r="D789" s="53" t="s">
        <v>505</v>
      </c>
      <c r="E789" s="53" t="s">
        <v>494</v>
      </c>
      <c r="F789" s="53">
        <v>0.57999999999999996</v>
      </c>
    </row>
    <row r="790" spans="1:6">
      <c r="A790" s="52">
        <v>35104</v>
      </c>
      <c r="B790" s="53" t="s">
        <v>511</v>
      </c>
      <c r="C790" s="53" t="s">
        <v>503</v>
      </c>
      <c r="D790" s="53" t="s">
        <v>504</v>
      </c>
      <c r="E790" s="53" t="s">
        <v>494</v>
      </c>
      <c r="F790" s="53">
        <v>0.57999999999999996</v>
      </c>
    </row>
    <row r="791" spans="1:6">
      <c r="A791" s="52">
        <v>35104</v>
      </c>
      <c r="B791" s="53" t="s">
        <v>511</v>
      </c>
      <c r="C791" s="53" t="s">
        <v>503</v>
      </c>
      <c r="D791" s="53" t="s">
        <v>505</v>
      </c>
      <c r="E791" s="53" t="s">
        <v>494</v>
      </c>
      <c r="F791" s="53">
        <v>0.57999999999999996</v>
      </c>
    </row>
    <row r="792" spans="1:6">
      <c r="A792" s="52">
        <v>35104</v>
      </c>
      <c r="B792" s="53" t="s">
        <v>511</v>
      </c>
      <c r="C792" s="53" t="s">
        <v>506</v>
      </c>
      <c r="D792" s="53" t="s">
        <v>504</v>
      </c>
      <c r="E792" s="53" t="s">
        <v>494</v>
      </c>
      <c r="F792" s="53">
        <v>0.57999999999999996</v>
      </c>
    </row>
    <row r="793" spans="1:6">
      <c r="A793" s="52">
        <v>35104</v>
      </c>
      <c r="B793" s="53" t="s">
        <v>511</v>
      </c>
      <c r="C793" s="53" t="s">
        <v>506</v>
      </c>
      <c r="D793" s="53" t="s">
        <v>505</v>
      </c>
      <c r="E793" s="53" t="s">
        <v>494</v>
      </c>
      <c r="F793" s="53">
        <v>0.57999999999999996</v>
      </c>
    </row>
    <row r="794" spans="1:6">
      <c r="A794" s="52">
        <v>35104</v>
      </c>
      <c r="B794" s="53" t="s">
        <v>502</v>
      </c>
      <c r="C794" s="53" t="s">
        <v>503</v>
      </c>
      <c r="D794" s="53" t="s">
        <v>504</v>
      </c>
      <c r="E794" s="53" t="s">
        <v>493</v>
      </c>
      <c r="F794" s="53">
        <v>0.57999999999999996</v>
      </c>
    </row>
    <row r="795" spans="1:6">
      <c r="A795" s="52">
        <v>35104</v>
      </c>
      <c r="B795" s="53" t="s">
        <v>502</v>
      </c>
      <c r="C795" s="53" t="s">
        <v>506</v>
      </c>
      <c r="D795" s="53" t="s">
        <v>504</v>
      </c>
      <c r="E795" s="53" t="s">
        <v>493</v>
      </c>
      <c r="F795" s="53">
        <v>0.57999999999999996</v>
      </c>
    </row>
    <row r="796" spans="1:6">
      <c r="A796" s="52">
        <v>35104</v>
      </c>
      <c r="B796" s="53" t="s">
        <v>502</v>
      </c>
      <c r="C796" s="53" t="s">
        <v>503</v>
      </c>
      <c r="D796" s="53" t="s">
        <v>505</v>
      </c>
      <c r="E796" s="53" t="s">
        <v>493</v>
      </c>
      <c r="F796" s="53">
        <v>0.57999999999999996</v>
      </c>
    </row>
    <row r="797" spans="1:6">
      <c r="A797" s="52">
        <v>35104</v>
      </c>
      <c r="B797" s="53" t="s">
        <v>502</v>
      </c>
      <c r="C797" s="53" t="s">
        <v>506</v>
      </c>
      <c r="D797" s="53" t="s">
        <v>505</v>
      </c>
      <c r="E797" s="53" t="s">
        <v>493</v>
      </c>
      <c r="F797" s="53">
        <v>0.57999999999999996</v>
      </c>
    </row>
    <row r="798" spans="1:6">
      <c r="A798" s="52">
        <v>35104</v>
      </c>
      <c r="B798" s="53" t="s">
        <v>507</v>
      </c>
      <c r="C798" s="53" t="s">
        <v>503</v>
      </c>
      <c r="D798" s="53" t="s">
        <v>504</v>
      </c>
      <c r="E798" s="53" t="s">
        <v>493</v>
      </c>
      <c r="F798" s="53">
        <v>0.41</v>
      </c>
    </row>
    <row r="799" spans="1:6">
      <c r="A799" s="52">
        <v>35104</v>
      </c>
      <c r="B799" s="53" t="s">
        <v>507</v>
      </c>
      <c r="C799" s="53" t="s">
        <v>506</v>
      </c>
      <c r="D799" s="53" t="s">
        <v>504</v>
      </c>
      <c r="E799" s="53" t="s">
        <v>493</v>
      </c>
      <c r="F799" s="53">
        <v>0.41</v>
      </c>
    </row>
    <row r="800" spans="1:6">
      <c r="A800" s="52">
        <v>35104</v>
      </c>
      <c r="B800" s="53" t="s">
        <v>507</v>
      </c>
      <c r="C800" s="53" t="s">
        <v>503</v>
      </c>
      <c r="D800" s="53" t="s">
        <v>505</v>
      </c>
      <c r="E800" s="53" t="s">
        <v>493</v>
      </c>
      <c r="F800" s="53">
        <v>0.41</v>
      </c>
    </row>
    <row r="801" spans="1:6">
      <c r="A801" s="52">
        <v>35104</v>
      </c>
      <c r="B801" s="53" t="s">
        <v>507</v>
      </c>
      <c r="C801" s="53" t="s">
        <v>506</v>
      </c>
      <c r="D801" s="53" t="s">
        <v>505</v>
      </c>
      <c r="E801" s="53" t="s">
        <v>493</v>
      </c>
      <c r="F801" s="53">
        <v>0.41</v>
      </c>
    </row>
    <row r="802" spans="1:6">
      <c r="A802" s="52">
        <v>35104</v>
      </c>
      <c r="B802" s="53" t="s">
        <v>508</v>
      </c>
      <c r="C802" s="53" t="s">
        <v>503</v>
      </c>
      <c r="D802" s="53" t="s">
        <v>504</v>
      </c>
      <c r="E802" s="53" t="s">
        <v>493</v>
      </c>
      <c r="F802" s="53">
        <v>0.57999999999999996</v>
      </c>
    </row>
    <row r="803" spans="1:6">
      <c r="A803" s="52">
        <v>35104</v>
      </c>
      <c r="B803" s="53" t="s">
        <v>509</v>
      </c>
      <c r="C803" s="53" t="s">
        <v>503</v>
      </c>
      <c r="D803" s="53" t="s">
        <v>504</v>
      </c>
      <c r="E803" s="53" t="s">
        <v>493</v>
      </c>
      <c r="F803" s="53">
        <v>0.57999999999999996</v>
      </c>
    </row>
    <row r="804" spans="1:6">
      <c r="A804" s="52">
        <v>35104</v>
      </c>
      <c r="B804" s="53" t="s">
        <v>508</v>
      </c>
      <c r="C804" s="53" t="s">
        <v>506</v>
      </c>
      <c r="D804" s="53" t="s">
        <v>504</v>
      </c>
      <c r="E804" s="53" t="s">
        <v>493</v>
      </c>
      <c r="F804" s="53">
        <v>0.57999999999999996</v>
      </c>
    </row>
    <row r="805" spans="1:6">
      <c r="A805" s="52">
        <v>35104</v>
      </c>
      <c r="B805" s="53" t="s">
        <v>509</v>
      </c>
      <c r="C805" s="53" t="s">
        <v>506</v>
      </c>
      <c r="D805" s="53" t="s">
        <v>504</v>
      </c>
      <c r="E805" s="53" t="s">
        <v>493</v>
      </c>
      <c r="F805" s="53">
        <v>0.57999999999999996</v>
      </c>
    </row>
    <row r="806" spans="1:6">
      <c r="A806" s="52">
        <v>35104</v>
      </c>
      <c r="B806" s="53" t="s">
        <v>508</v>
      </c>
      <c r="C806" s="53" t="s">
        <v>503</v>
      </c>
      <c r="D806" s="53" t="s">
        <v>505</v>
      </c>
      <c r="E806" s="53" t="s">
        <v>493</v>
      </c>
      <c r="F806" s="53">
        <v>0.57999999999999996</v>
      </c>
    </row>
    <row r="807" spans="1:6">
      <c r="A807" s="52">
        <v>35104</v>
      </c>
      <c r="B807" s="53" t="s">
        <v>509</v>
      </c>
      <c r="C807" s="53" t="s">
        <v>503</v>
      </c>
      <c r="D807" s="53" t="s">
        <v>505</v>
      </c>
      <c r="E807" s="53" t="s">
        <v>493</v>
      </c>
      <c r="F807" s="53">
        <v>0.57999999999999996</v>
      </c>
    </row>
    <row r="808" spans="1:6">
      <c r="A808" s="52">
        <v>35104</v>
      </c>
      <c r="B808" s="53" t="s">
        <v>508</v>
      </c>
      <c r="C808" s="53" t="s">
        <v>506</v>
      </c>
      <c r="D808" s="53" t="s">
        <v>505</v>
      </c>
      <c r="E808" s="53" t="s">
        <v>493</v>
      </c>
      <c r="F808" s="53">
        <v>0.57999999999999996</v>
      </c>
    </row>
    <row r="809" spans="1:6">
      <c r="A809" s="52">
        <v>35104</v>
      </c>
      <c r="B809" s="53" t="s">
        <v>509</v>
      </c>
      <c r="C809" s="53" t="s">
        <v>506</v>
      </c>
      <c r="D809" s="53" t="s">
        <v>505</v>
      </c>
      <c r="E809" s="53" t="s">
        <v>493</v>
      </c>
      <c r="F809" s="53">
        <v>0.57999999999999996</v>
      </c>
    </row>
    <row r="810" spans="1:6">
      <c r="A810" s="52">
        <v>35104</v>
      </c>
      <c r="B810" s="53" t="s">
        <v>510</v>
      </c>
      <c r="C810" s="53" t="s">
        <v>503</v>
      </c>
      <c r="D810" s="53" t="s">
        <v>504</v>
      </c>
      <c r="E810" s="53" t="s">
        <v>493</v>
      </c>
      <c r="F810" s="53">
        <v>0.57999999999999996</v>
      </c>
    </row>
    <row r="811" spans="1:6">
      <c r="A811" s="52">
        <v>35104</v>
      </c>
      <c r="B811" s="53" t="s">
        <v>510</v>
      </c>
      <c r="C811" s="53" t="s">
        <v>503</v>
      </c>
      <c r="D811" s="53" t="s">
        <v>505</v>
      </c>
      <c r="E811" s="53" t="s">
        <v>493</v>
      </c>
      <c r="F811" s="53">
        <v>0.57999999999999996</v>
      </c>
    </row>
    <row r="812" spans="1:6">
      <c r="A812" s="52">
        <v>35104</v>
      </c>
      <c r="B812" s="53" t="s">
        <v>510</v>
      </c>
      <c r="C812" s="53" t="s">
        <v>506</v>
      </c>
      <c r="D812" s="53" t="s">
        <v>504</v>
      </c>
      <c r="E812" s="53" t="s">
        <v>493</v>
      </c>
      <c r="F812" s="53">
        <v>0.57999999999999996</v>
      </c>
    </row>
    <row r="813" spans="1:6">
      <c r="A813" s="52">
        <v>35104</v>
      </c>
      <c r="B813" s="53" t="s">
        <v>510</v>
      </c>
      <c r="C813" s="53" t="s">
        <v>506</v>
      </c>
      <c r="D813" s="53" t="s">
        <v>505</v>
      </c>
      <c r="E813" s="53" t="s">
        <v>493</v>
      </c>
      <c r="F813" s="53">
        <v>0.57999999999999996</v>
      </c>
    </row>
    <row r="814" spans="1:6">
      <c r="A814" s="52">
        <v>35104</v>
      </c>
      <c r="B814" s="53" t="s">
        <v>511</v>
      </c>
      <c r="C814" s="53" t="s">
        <v>503</v>
      </c>
      <c r="D814" s="53" t="s">
        <v>504</v>
      </c>
      <c r="E814" s="53" t="s">
        <v>493</v>
      </c>
      <c r="F814" s="53">
        <v>0.57999999999999996</v>
      </c>
    </row>
    <row r="815" spans="1:6">
      <c r="A815" s="52">
        <v>35104</v>
      </c>
      <c r="B815" s="53" t="s">
        <v>511</v>
      </c>
      <c r="C815" s="53" t="s">
        <v>503</v>
      </c>
      <c r="D815" s="53" t="s">
        <v>505</v>
      </c>
      <c r="E815" s="53" t="s">
        <v>493</v>
      </c>
      <c r="F815" s="53">
        <v>0.57999999999999996</v>
      </c>
    </row>
    <row r="816" spans="1:6">
      <c r="A816" s="52">
        <v>35104</v>
      </c>
      <c r="B816" s="53" t="s">
        <v>511</v>
      </c>
      <c r="C816" s="53" t="s">
        <v>506</v>
      </c>
      <c r="D816" s="53" t="s">
        <v>504</v>
      </c>
      <c r="E816" s="53" t="s">
        <v>493</v>
      </c>
      <c r="F816" s="53">
        <v>0.57999999999999996</v>
      </c>
    </row>
    <row r="817" spans="1:6">
      <c r="A817" s="52">
        <v>35104</v>
      </c>
      <c r="B817" s="53" t="s">
        <v>511</v>
      </c>
      <c r="C817" s="53" t="s">
        <v>506</v>
      </c>
      <c r="D817" s="53" t="s">
        <v>505</v>
      </c>
      <c r="E817" s="53" t="s">
        <v>493</v>
      </c>
      <c r="F817" s="53">
        <v>0.57999999999999996</v>
      </c>
    </row>
    <row r="818" spans="1:6">
      <c r="A818" s="52">
        <v>35104</v>
      </c>
      <c r="B818" s="53" t="s">
        <v>502</v>
      </c>
      <c r="C818" s="53" t="s">
        <v>503</v>
      </c>
      <c r="D818" s="53" t="s">
        <v>504</v>
      </c>
      <c r="E818" s="53" t="s">
        <v>495</v>
      </c>
      <c r="F818" s="53">
        <v>0.76</v>
      </c>
    </row>
    <row r="819" spans="1:6">
      <c r="A819" s="52">
        <v>35104</v>
      </c>
      <c r="B819" s="53" t="s">
        <v>502</v>
      </c>
      <c r="C819" s="53" t="s">
        <v>506</v>
      </c>
      <c r="D819" s="53" t="s">
        <v>504</v>
      </c>
      <c r="E819" s="53" t="s">
        <v>495</v>
      </c>
      <c r="F819" s="53">
        <v>0.76</v>
      </c>
    </row>
    <row r="820" spans="1:6">
      <c r="A820" s="52">
        <v>35104</v>
      </c>
      <c r="B820" s="53" t="s">
        <v>502</v>
      </c>
      <c r="C820" s="53" t="s">
        <v>503</v>
      </c>
      <c r="D820" s="53" t="s">
        <v>505</v>
      </c>
      <c r="E820" s="53" t="s">
        <v>495</v>
      </c>
      <c r="F820" s="53">
        <v>0.76</v>
      </c>
    </row>
    <row r="821" spans="1:6">
      <c r="A821" s="52">
        <v>35104</v>
      </c>
      <c r="B821" s="53" t="s">
        <v>502</v>
      </c>
      <c r="C821" s="53" t="s">
        <v>506</v>
      </c>
      <c r="D821" s="53" t="s">
        <v>505</v>
      </c>
      <c r="E821" s="53" t="s">
        <v>495</v>
      </c>
      <c r="F821" s="53">
        <v>0.76</v>
      </c>
    </row>
    <row r="822" spans="1:6">
      <c r="A822" s="52">
        <v>35104</v>
      </c>
      <c r="B822" s="53" t="s">
        <v>507</v>
      </c>
      <c r="C822" s="53" t="s">
        <v>503</v>
      </c>
      <c r="D822" s="53" t="s">
        <v>504</v>
      </c>
      <c r="E822" s="53" t="s">
        <v>495</v>
      </c>
      <c r="F822" s="53">
        <v>0.52</v>
      </c>
    </row>
    <row r="823" spans="1:6">
      <c r="A823" s="52">
        <v>35104</v>
      </c>
      <c r="B823" s="53" t="s">
        <v>507</v>
      </c>
      <c r="C823" s="53" t="s">
        <v>506</v>
      </c>
      <c r="D823" s="53" t="s">
        <v>504</v>
      </c>
      <c r="E823" s="53" t="s">
        <v>495</v>
      </c>
      <c r="F823" s="53">
        <v>0.52</v>
      </c>
    </row>
    <row r="824" spans="1:6">
      <c r="A824" s="52">
        <v>35104</v>
      </c>
      <c r="B824" s="53" t="s">
        <v>507</v>
      </c>
      <c r="C824" s="53" t="s">
        <v>503</v>
      </c>
      <c r="D824" s="53" t="s">
        <v>505</v>
      </c>
      <c r="E824" s="53" t="s">
        <v>495</v>
      </c>
      <c r="F824" s="53">
        <v>0.52</v>
      </c>
    </row>
    <row r="825" spans="1:6">
      <c r="A825" s="52">
        <v>35104</v>
      </c>
      <c r="B825" s="53" t="s">
        <v>507</v>
      </c>
      <c r="C825" s="53" t="s">
        <v>506</v>
      </c>
      <c r="D825" s="53" t="s">
        <v>505</v>
      </c>
      <c r="E825" s="53" t="s">
        <v>495</v>
      </c>
      <c r="F825" s="53">
        <v>0.52</v>
      </c>
    </row>
    <row r="826" spans="1:6">
      <c r="A826" s="52">
        <v>35104</v>
      </c>
      <c r="B826" s="53" t="s">
        <v>508</v>
      </c>
      <c r="C826" s="53" t="s">
        <v>503</v>
      </c>
      <c r="D826" s="53" t="s">
        <v>504</v>
      </c>
      <c r="E826" s="53" t="s">
        <v>495</v>
      </c>
      <c r="F826" s="53">
        <v>0.76</v>
      </c>
    </row>
    <row r="827" spans="1:6">
      <c r="A827" s="52">
        <v>35104</v>
      </c>
      <c r="B827" s="53" t="s">
        <v>509</v>
      </c>
      <c r="C827" s="53" t="s">
        <v>503</v>
      </c>
      <c r="D827" s="53" t="s">
        <v>504</v>
      </c>
      <c r="E827" s="53" t="s">
        <v>495</v>
      </c>
      <c r="F827" s="53">
        <v>0.76</v>
      </c>
    </row>
    <row r="828" spans="1:6">
      <c r="A828" s="52">
        <v>35104</v>
      </c>
      <c r="B828" s="53" t="s">
        <v>508</v>
      </c>
      <c r="C828" s="53" t="s">
        <v>506</v>
      </c>
      <c r="D828" s="53" t="s">
        <v>504</v>
      </c>
      <c r="E828" s="53" t="s">
        <v>495</v>
      </c>
      <c r="F828" s="53">
        <v>0.76</v>
      </c>
    </row>
    <row r="829" spans="1:6">
      <c r="A829" s="52">
        <v>35104</v>
      </c>
      <c r="B829" s="53" t="s">
        <v>509</v>
      </c>
      <c r="C829" s="53" t="s">
        <v>506</v>
      </c>
      <c r="D829" s="53" t="s">
        <v>504</v>
      </c>
      <c r="E829" s="53" t="s">
        <v>495</v>
      </c>
      <c r="F829" s="53">
        <v>0.76</v>
      </c>
    </row>
    <row r="830" spans="1:6">
      <c r="A830" s="52">
        <v>35104</v>
      </c>
      <c r="B830" s="53" t="s">
        <v>508</v>
      </c>
      <c r="C830" s="53" t="s">
        <v>503</v>
      </c>
      <c r="D830" s="53" t="s">
        <v>505</v>
      </c>
      <c r="E830" s="53" t="s">
        <v>495</v>
      </c>
      <c r="F830" s="53">
        <v>0.76</v>
      </c>
    </row>
    <row r="831" spans="1:6">
      <c r="A831" s="52">
        <v>35104</v>
      </c>
      <c r="B831" s="53" t="s">
        <v>509</v>
      </c>
      <c r="C831" s="53" t="s">
        <v>503</v>
      </c>
      <c r="D831" s="53" t="s">
        <v>505</v>
      </c>
      <c r="E831" s="53" t="s">
        <v>495</v>
      </c>
      <c r="F831" s="53">
        <v>0.76</v>
      </c>
    </row>
    <row r="832" spans="1:6">
      <c r="A832" s="52">
        <v>35104</v>
      </c>
      <c r="B832" s="53" t="s">
        <v>508</v>
      </c>
      <c r="C832" s="53" t="s">
        <v>506</v>
      </c>
      <c r="D832" s="53" t="s">
        <v>505</v>
      </c>
      <c r="E832" s="53" t="s">
        <v>495</v>
      </c>
      <c r="F832" s="53">
        <v>0.76</v>
      </c>
    </row>
    <row r="833" spans="1:6">
      <c r="A833" s="52">
        <v>35104</v>
      </c>
      <c r="B833" s="53" t="s">
        <v>509</v>
      </c>
      <c r="C833" s="53" t="s">
        <v>506</v>
      </c>
      <c r="D833" s="53" t="s">
        <v>505</v>
      </c>
      <c r="E833" s="53" t="s">
        <v>495</v>
      </c>
      <c r="F833" s="53">
        <v>0.76</v>
      </c>
    </row>
    <row r="834" spans="1:6">
      <c r="A834" s="52">
        <v>35104</v>
      </c>
      <c r="B834" s="53" t="s">
        <v>510</v>
      </c>
      <c r="C834" s="53" t="s">
        <v>503</v>
      </c>
      <c r="D834" s="53" t="s">
        <v>504</v>
      </c>
      <c r="E834" s="53" t="s">
        <v>495</v>
      </c>
      <c r="F834" s="53">
        <v>0.76</v>
      </c>
    </row>
    <row r="835" spans="1:6">
      <c r="A835" s="52">
        <v>35104</v>
      </c>
      <c r="B835" s="53" t="s">
        <v>510</v>
      </c>
      <c r="C835" s="53" t="s">
        <v>503</v>
      </c>
      <c r="D835" s="53" t="s">
        <v>505</v>
      </c>
      <c r="E835" s="53" t="s">
        <v>495</v>
      </c>
      <c r="F835" s="53">
        <v>0.76</v>
      </c>
    </row>
    <row r="836" spans="1:6">
      <c r="A836" s="52">
        <v>35104</v>
      </c>
      <c r="B836" s="53" t="s">
        <v>510</v>
      </c>
      <c r="C836" s="53" t="s">
        <v>506</v>
      </c>
      <c r="D836" s="53" t="s">
        <v>504</v>
      </c>
      <c r="E836" s="53" t="s">
        <v>495</v>
      </c>
      <c r="F836" s="53">
        <v>0.76</v>
      </c>
    </row>
    <row r="837" spans="1:6">
      <c r="A837" s="52">
        <v>35104</v>
      </c>
      <c r="B837" s="53" t="s">
        <v>510</v>
      </c>
      <c r="C837" s="53" t="s">
        <v>506</v>
      </c>
      <c r="D837" s="53" t="s">
        <v>505</v>
      </c>
      <c r="E837" s="53" t="s">
        <v>495</v>
      </c>
      <c r="F837" s="53">
        <v>0.76</v>
      </c>
    </row>
    <row r="838" spans="1:6">
      <c r="A838" s="52">
        <v>35104</v>
      </c>
      <c r="B838" s="53" t="s">
        <v>511</v>
      </c>
      <c r="C838" s="53" t="s">
        <v>503</v>
      </c>
      <c r="D838" s="53" t="s">
        <v>504</v>
      </c>
      <c r="E838" s="53" t="s">
        <v>495</v>
      </c>
      <c r="F838" s="53">
        <v>0.76</v>
      </c>
    </row>
    <row r="839" spans="1:6">
      <c r="A839" s="52">
        <v>35104</v>
      </c>
      <c r="B839" s="53" t="s">
        <v>511</v>
      </c>
      <c r="C839" s="53" t="s">
        <v>503</v>
      </c>
      <c r="D839" s="53" t="s">
        <v>505</v>
      </c>
      <c r="E839" s="53" t="s">
        <v>495</v>
      </c>
      <c r="F839" s="53">
        <v>0.76</v>
      </c>
    </row>
    <row r="840" spans="1:6">
      <c r="A840" s="52">
        <v>35104</v>
      </c>
      <c r="B840" s="53" t="s">
        <v>511</v>
      </c>
      <c r="C840" s="53" t="s">
        <v>506</v>
      </c>
      <c r="D840" s="53" t="s">
        <v>504</v>
      </c>
      <c r="E840" s="53" t="s">
        <v>495</v>
      </c>
      <c r="F840" s="53">
        <v>0.76</v>
      </c>
    </row>
    <row r="841" spans="1:6">
      <c r="A841" s="52">
        <v>35104</v>
      </c>
      <c r="B841" s="53" t="s">
        <v>511</v>
      </c>
      <c r="C841" s="53" t="s">
        <v>506</v>
      </c>
      <c r="D841" s="53" t="s">
        <v>505</v>
      </c>
      <c r="E841" s="53" t="s">
        <v>495</v>
      </c>
      <c r="F841" s="53">
        <v>0.76</v>
      </c>
    </row>
    <row r="842" spans="1:6">
      <c r="A842" s="52">
        <v>35104</v>
      </c>
      <c r="B842" s="53" t="s">
        <v>502</v>
      </c>
      <c r="C842" s="53" t="s">
        <v>503</v>
      </c>
      <c r="D842" s="53" t="s">
        <v>504</v>
      </c>
      <c r="E842" s="53" t="s">
        <v>496</v>
      </c>
      <c r="F842" s="53">
        <v>1.1599999999999999</v>
      </c>
    </row>
    <row r="843" spans="1:6">
      <c r="A843" s="52">
        <v>35104</v>
      </c>
      <c r="B843" s="53" t="s">
        <v>502</v>
      </c>
      <c r="C843" s="53" t="s">
        <v>506</v>
      </c>
      <c r="D843" s="53" t="s">
        <v>504</v>
      </c>
      <c r="E843" s="53" t="s">
        <v>496</v>
      </c>
      <c r="F843" s="53">
        <v>1.1599999999999999</v>
      </c>
    </row>
    <row r="844" spans="1:6">
      <c r="A844" s="52">
        <v>35104</v>
      </c>
      <c r="B844" s="53" t="s">
        <v>502</v>
      </c>
      <c r="C844" s="53" t="s">
        <v>503</v>
      </c>
      <c r="D844" s="53" t="s">
        <v>505</v>
      </c>
      <c r="E844" s="53" t="s">
        <v>496</v>
      </c>
      <c r="F844" s="53">
        <v>1.1599999999999999</v>
      </c>
    </row>
    <row r="845" spans="1:6">
      <c r="A845" s="52">
        <v>35104</v>
      </c>
      <c r="B845" s="53" t="s">
        <v>502</v>
      </c>
      <c r="C845" s="53" t="s">
        <v>506</v>
      </c>
      <c r="D845" s="53" t="s">
        <v>505</v>
      </c>
      <c r="E845" s="53" t="s">
        <v>496</v>
      </c>
      <c r="F845" s="53">
        <v>1.1599999999999999</v>
      </c>
    </row>
    <row r="846" spans="1:6">
      <c r="A846" s="52">
        <v>35104</v>
      </c>
      <c r="B846" s="53" t="s">
        <v>507</v>
      </c>
      <c r="C846" s="53" t="s">
        <v>503</v>
      </c>
      <c r="D846" s="53" t="s">
        <v>504</v>
      </c>
      <c r="E846" s="53" t="s">
        <v>496</v>
      </c>
      <c r="F846" s="53">
        <v>0.76</v>
      </c>
    </row>
    <row r="847" spans="1:6">
      <c r="A847" s="52">
        <v>35104</v>
      </c>
      <c r="B847" s="53" t="s">
        <v>507</v>
      </c>
      <c r="C847" s="53" t="s">
        <v>506</v>
      </c>
      <c r="D847" s="53" t="s">
        <v>504</v>
      </c>
      <c r="E847" s="53" t="s">
        <v>496</v>
      </c>
      <c r="F847" s="53">
        <v>0.76</v>
      </c>
    </row>
    <row r="848" spans="1:6">
      <c r="A848" s="52">
        <v>35104</v>
      </c>
      <c r="B848" s="53" t="s">
        <v>507</v>
      </c>
      <c r="C848" s="53" t="s">
        <v>503</v>
      </c>
      <c r="D848" s="53" t="s">
        <v>505</v>
      </c>
      <c r="E848" s="53" t="s">
        <v>496</v>
      </c>
      <c r="F848" s="53">
        <v>0.76</v>
      </c>
    </row>
    <row r="849" spans="1:6">
      <c r="A849" s="52">
        <v>35104</v>
      </c>
      <c r="B849" s="53" t="s">
        <v>507</v>
      </c>
      <c r="C849" s="53" t="s">
        <v>506</v>
      </c>
      <c r="D849" s="53" t="s">
        <v>505</v>
      </c>
      <c r="E849" s="53" t="s">
        <v>496</v>
      </c>
      <c r="F849" s="53">
        <v>0.76</v>
      </c>
    </row>
    <row r="850" spans="1:6">
      <c r="A850" s="52">
        <v>35104</v>
      </c>
      <c r="B850" s="53" t="s">
        <v>508</v>
      </c>
      <c r="C850" s="53" t="s">
        <v>503</v>
      </c>
      <c r="D850" s="53" t="s">
        <v>504</v>
      </c>
      <c r="E850" s="53" t="s">
        <v>496</v>
      </c>
      <c r="F850" s="53">
        <v>1.1599999999999999</v>
      </c>
    </row>
    <row r="851" spans="1:6">
      <c r="A851" s="52">
        <v>35104</v>
      </c>
      <c r="B851" s="53" t="s">
        <v>509</v>
      </c>
      <c r="C851" s="53" t="s">
        <v>503</v>
      </c>
      <c r="D851" s="53" t="s">
        <v>504</v>
      </c>
      <c r="E851" s="53" t="s">
        <v>496</v>
      </c>
      <c r="F851" s="53">
        <v>1.1599999999999999</v>
      </c>
    </row>
    <row r="852" spans="1:6">
      <c r="A852" s="52">
        <v>35104</v>
      </c>
      <c r="B852" s="53" t="s">
        <v>508</v>
      </c>
      <c r="C852" s="53" t="s">
        <v>506</v>
      </c>
      <c r="D852" s="53" t="s">
        <v>504</v>
      </c>
      <c r="E852" s="53" t="s">
        <v>496</v>
      </c>
      <c r="F852" s="53">
        <v>1.1599999999999999</v>
      </c>
    </row>
    <row r="853" spans="1:6">
      <c r="A853" s="52">
        <v>35104</v>
      </c>
      <c r="B853" s="53" t="s">
        <v>509</v>
      </c>
      <c r="C853" s="53" t="s">
        <v>506</v>
      </c>
      <c r="D853" s="53" t="s">
        <v>504</v>
      </c>
      <c r="E853" s="53" t="s">
        <v>496</v>
      </c>
      <c r="F853" s="53">
        <v>1.1599999999999999</v>
      </c>
    </row>
    <row r="854" spans="1:6">
      <c r="A854" s="52">
        <v>35104</v>
      </c>
      <c r="B854" s="53" t="s">
        <v>508</v>
      </c>
      <c r="C854" s="53" t="s">
        <v>503</v>
      </c>
      <c r="D854" s="53" t="s">
        <v>505</v>
      </c>
      <c r="E854" s="53" t="s">
        <v>496</v>
      </c>
      <c r="F854" s="53">
        <v>1.1599999999999999</v>
      </c>
    </row>
    <row r="855" spans="1:6">
      <c r="A855" s="52">
        <v>35104</v>
      </c>
      <c r="B855" s="53" t="s">
        <v>509</v>
      </c>
      <c r="C855" s="53" t="s">
        <v>503</v>
      </c>
      <c r="D855" s="53" t="s">
        <v>505</v>
      </c>
      <c r="E855" s="53" t="s">
        <v>496</v>
      </c>
      <c r="F855" s="53">
        <v>1.1599999999999999</v>
      </c>
    </row>
    <row r="856" spans="1:6">
      <c r="A856" s="52">
        <v>35104</v>
      </c>
      <c r="B856" s="53" t="s">
        <v>508</v>
      </c>
      <c r="C856" s="53" t="s">
        <v>506</v>
      </c>
      <c r="D856" s="53" t="s">
        <v>505</v>
      </c>
      <c r="E856" s="53" t="s">
        <v>496</v>
      </c>
      <c r="F856" s="53">
        <v>1.1599999999999999</v>
      </c>
    </row>
    <row r="857" spans="1:6">
      <c r="A857" s="52">
        <v>35104</v>
      </c>
      <c r="B857" s="53" t="s">
        <v>509</v>
      </c>
      <c r="C857" s="53" t="s">
        <v>506</v>
      </c>
      <c r="D857" s="53" t="s">
        <v>505</v>
      </c>
      <c r="E857" s="53" t="s">
        <v>496</v>
      </c>
      <c r="F857" s="53">
        <v>1.1599999999999999</v>
      </c>
    </row>
    <row r="858" spans="1:6">
      <c r="A858" s="52">
        <v>35104</v>
      </c>
      <c r="B858" s="53" t="s">
        <v>510</v>
      </c>
      <c r="C858" s="53" t="s">
        <v>503</v>
      </c>
      <c r="D858" s="53" t="s">
        <v>504</v>
      </c>
      <c r="E858" s="53" t="s">
        <v>496</v>
      </c>
      <c r="F858" s="53">
        <v>1.1599999999999999</v>
      </c>
    </row>
    <row r="859" spans="1:6">
      <c r="A859" s="52">
        <v>35104</v>
      </c>
      <c r="B859" s="53" t="s">
        <v>510</v>
      </c>
      <c r="C859" s="53" t="s">
        <v>503</v>
      </c>
      <c r="D859" s="53" t="s">
        <v>505</v>
      </c>
      <c r="E859" s="53" t="s">
        <v>496</v>
      </c>
      <c r="F859" s="53">
        <v>1.1599999999999999</v>
      </c>
    </row>
    <row r="860" spans="1:6">
      <c r="A860" s="52">
        <v>35104</v>
      </c>
      <c r="B860" s="53" t="s">
        <v>510</v>
      </c>
      <c r="C860" s="53" t="s">
        <v>506</v>
      </c>
      <c r="D860" s="53" t="s">
        <v>504</v>
      </c>
      <c r="E860" s="53" t="s">
        <v>496</v>
      </c>
      <c r="F860" s="53">
        <v>1.1599999999999999</v>
      </c>
    </row>
    <row r="861" spans="1:6">
      <c r="A861" s="52">
        <v>35104</v>
      </c>
      <c r="B861" s="53" t="s">
        <v>510</v>
      </c>
      <c r="C861" s="53" t="s">
        <v>506</v>
      </c>
      <c r="D861" s="53" t="s">
        <v>505</v>
      </c>
      <c r="E861" s="53" t="s">
        <v>496</v>
      </c>
      <c r="F861" s="53">
        <v>1.1599999999999999</v>
      </c>
    </row>
    <row r="862" spans="1:6">
      <c r="A862" s="52">
        <v>35104</v>
      </c>
      <c r="B862" s="53" t="s">
        <v>511</v>
      </c>
      <c r="C862" s="53" t="s">
        <v>503</v>
      </c>
      <c r="D862" s="53" t="s">
        <v>504</v>
      </c>
      <c r="E862" s="53" t="s">
        <v>496</v>
      </c>
      <c r="F862" s="53">
        <v>1.1599999999999999</v>
      </c>
    </row>
    <row r="863" spans="1:6">
      <c r="A863" s="52">
        <v>35104</v>
      </c>
      <c r="B863" s="53" t="s">
        <v>511</v>
      </c>
      <c r="C863" s="53" t="s">
        <v>503</v>
      </c>
      <c r="D863" s="53" t="s">
        <v>505</v>
      </c>
      <c r="E863" s="53" t="s">
        <v>496</v>
      </c>
      <c r="F863" s="53">
        <v>1.1599999999999999</v>
      </c>
    </row>
    <row r="864" spans="1:6">
      <c r="A864" s="52">
        <v>35104</v>
      </c>
      <c r="B864" s="53" t="s">
        <v>511</v>
      </c>
      <c r="C864" s="53" t="s">
        <v>506</v>
      </c>
      <c r="D864" s="53" t="s">
        <v>504</v>
      </c>
      <c r="E864" s="53" t="s">
        <v>496</v>
      </c>
      <c r="F864" s="53">
        <v>1.1599999999999999</v>
      </c>
    </row>
    <row r="865" spans="1:6">
      <c r="A865" s="52">
        <v>35104</v>
      </c>
      <c r="B865" s="53" t="s">
        <v>511</v>
      </c>
      <c r="C865" s="53" t="s">
        <v>506</v>
      </c>
      <c r="D865" s="53" t="s">
        <v>505</v>
      </c>
      <c r="E865" s="53" t="s">
        <v>496</v>
      </c>
      <c r="F865" s="53">
        <v>1.1599999999999999</v>
      </c>
    </row>
    <row r="866" spans="1:6">
      <c r="A866" s="52">
        <v>33756</v>
      </c>
      <c r="B866" s="53" t="s">
        <v>502</v>
      </c>
      <c r="C866" s="53" t="s">
        <v>503</v>
      </c>
      <c r="D866" s="53" t="s">
        <v>504</v>
      </c>
      <c r="E866" s="53" t="s">
        <v>494</v>
      </c>
      <c r="F866" s="53">
        <v>0.57999999999999996</v>
      </c>
    </row>
    <row r="867" spans="1:6">
      <c r="A867" s="52">
        <v>33756</v>
      </c>
      <c r="B867" s="53" t="s">
        <v>502</v>
      </c>
      <c r="C867" s="53" t="s">
        <v>506</v>
      </c>
      <c r="D867" s="53" t="s">
        <v>504</v>
      </c>
      <c r="E867" s="53" t="s">
        <v>494</v>
      </c>
      <c r="F867" s="53">
        <v>0.57999999999999996</v>
      </c>
    </row>
    <row r="868" spans="1:6">
      <c r="A868" s="52">
        <v>33756</v>
      </c>
      <c r="B868" s="53" t="s">
        <v>502</v>
      </c>
      <c r="C868" s="53" t="s">
        <v>503</v>
      </c>
      <c r="D868" s="53" t="s">
        <v>505</v>
      </c>
      <c r="E868" s="53" t="s">
        <v>494</v>
      </c>
      <c r="F868" s="53">
        <v>0.57999999999999996</v>
      </c>
    </row>
    <row r="869" spans="1:6">
      <c r="A869" s="52">
        <v>33756</v>
      </c>
      <c r="B869" s="53" t="s">
        <v>502</v>
      </c>
      <c r="C869" s="53" t="s">
        <v>506</v>
      </c>
      <c r="D869" s="53" t="s">
        <v>505</v>
      </c>
      <c r="E869" s="53" t="s">
        <v>494</v>
      </c>
      <c r="F869" s="53">
        <v>0.57999999999999996</v>
      </c>
    </row>
    <row r="870" spans="1:6">
      <c r="A870" s="52">
        <v>33756</v>
      </c>
      <c r="B870" s="53" t="s">
        <v>507</v>
      </c>
      <c r="C870" s="53" t="s">
        <v>503</v>
      </c>
      <c r="D870" s="53" t="s">
        <v>504</v>
      </c>
      <c r="E870" s="53" t="s">
        <v>494</v>
      </c>
      <c r="F870" s="53">
        <v>0.41</v>
      </c>
    </row>
    <row r="871" spans="1:6">
      <c r="A871" s="52">
        <v>33756</v>
      </c>
      <c r="B871" s="53" t="s">
        <v>507</v>
      </c>
      <c r="C871" s="53" t="s">
        <v>506</v>
      </c>
      <c r="D871" s="53" t="s">
        <v>504</v>
      </c>
      <c r="E871" s="53" t="s">
        <v>494</v>
      </c>
      <c r="F871" s="53">
        <v>0.41</v>
      </c>
    </row>
    <row r="872" spans="1:6">
      <c r="A872" s="52">
        <v>33756</v>
      </c>
      <c r="B872" s="53" t="s">
        <v>507</v>
      </c>
      <c r="C872" s="53" t="s">
        <v>503</v>
      </c>
      <c r="D872" s="53" t="s">
        <v>505</v>
      </c>
      <c r="E872" s="53" t="s">
        <v>494</v>
      </c>
      <c r="F872" s="53">
        <v>0.41</v>
      </c>
    </row>
    <row r="873" spans="1:6">
      <c r="A873" s="52">
        <v>33756</v>
      </c>
      <c r="B873" s="53" t="s">
        <v>507</v>
      </c>
      <c r="C873" s="53" t="s">
        <v>506</v>
      </c>
      <c r="D873" s="53" t="s">
        <v>505</v>
      </c>
      <c r="E873" s="53" t="s">
        <v>494</v>
      </c>
      <c r="F873" s="53">
        <v>0.41</v>
      </c>
    </row>
    <row r="874" spans="1:6">
      <c r="A874" s="52">
        <v>33756</v>
      </c>
      <c r="B874" s="53" t="s">
        <v>508</v>
      </c>
      <c r="C874" s="53" t="s">
        <v>503</v>
      </c>
      <c r="D874" s="53" t="s">
        <v>504</v>
      </c>
      <c r="E874" s="53" t="s">
        <v>494</v>
      </c>
      <c r="F874" s="53">
        <v>0.57999999999999996</v>
      </c>
    </row>
    <row r="875" spans="1:6">
      <c r="A875" s="52">
        <v>33756</v>
      </c>
      <c r="B875" s="53" t="s">
        <v>509</v>
      </c>
      <c r="C875" s="53" t="s">
        <v>503</v>
      </c>
      <c r="D875" s="53" t="s">
        <v>504</v>
      </c>
      <c r="E875" s="53" t="s">
        <v>494</v>
      </c>
      <c r="F875" s="53">
        <v>0.57999999999999996</v>
      </c>
    </row>
    <row r="876" spans="1:6">
      <c r="A876" s="52">
        <v>33756</v>
      </c>
      <c r="B876" s="53" t="s">
        <v>508</v>
      </c>
      <c r="C876" s="53" t="s">
        <v>506</v>
      </c>
      <c r="D876" s="53" t="s">
        <v>504</v>
      </c>
      <c r="E876" s="53" t="s">
        <v>494</v>
      </c>
      <c r="F876" s="53">
        <v>0.57999999999999996</v>
      </c>
    </row>
    <row r="877" spans="1:6">
      <c r="A877" s="52">
        <v>33756</v>
      </c>
      <c r="B877" s="53" t="s">
        <v>509</v>
      </c>
      <c r="C877" s="53" t="s">
        <v>506</v>
      </c>
      <c r="D877" s="53" t="s">
        <v>504</v>
      </c>
      <c r="E877" s="53" t="s">
        <v>494</v>
      </c>
      <c r="F877" s="53">
        <v>0.57999999999999996</v>
      </c>
    </row>
    <row r="878" spans="1:6">
      <c r="A878" s="52">
        <v>33756</v>
      </c>
      <c r="B878" s="53" t="s">
        <v>508</v>
      </c>
      <c r="C878" s="53" t="s">
        <v>503</v>
      </c>
      <c r="D878" s="53" t="s">
        <v>505</v>
      </c>
      <c r="E878" s="53" t="s">
        <v>494</v>
      </c>
      <c r="F878" s="53">
        <v>0.57999999999999996</v>
      </c>
    </row>
    <row r="879" spans="1:6">
      <c r="A879" s="52">
        <v>33756</v>
      </c>
      <c r="B879" s="53" t="s">
        <v>509</v>
      </c>
      <c r="C879" s="53" t="s">
        <v>503</v>
      </c>
      <c r="D879" s="53" t="s">
        <v>505</v>
      </c>
      <c r="E879" s="53" t="s">
        <v>494</v>
      </c>
      <c r="F879" s="53">
        <v>0.57999999999999996</v>
      </c>
    </row>
    <row r="880" spans="1:6">
      <c r="A880" s="52">
        <v>33756</v>
      </c>
      <c r="B880" s="53" t="s">
        <v>508</v>
      </c>
      <c r="C880" s="53" t="s">
        <v>506</v>
      </c>
      <c r="D880" s="53" t="s">
        <v>505</v>
      </c>
      <c r="E880" s="53" t="s">
        <v>494</v>
      </c>
      <c r="F880" s="53">
        <v>0.57999999999999996</v>
      </c>
    </row>
    <row r="881" spans="1:6">
      <c r="A881" s="52">
        <v>33756</v>
      </c>
      <c r="B881" s="53" t="s">
        <v>509</v>
      </c>
      <c r="C881" s="53" t="s">
        <v>506</v>
      </c>
      <c r="D881" s="53" t="s">
        <v>505</v>
      </c>
      <c r="E881" s="53" t="s">
        <v>494</v>
      </c>
      <c r="F881" s="53">
        <v>0.57999999999999996</v>
      </c>
    </row>
    <row r="882" spans="1:6">
      <c r="A882" s="52">
        <v>33756</v>
      </c>
      <c r="B882" s="53" t="s">
        <v>510</v>
      </c>
      <c r="C882" s="53" t="s">
        <v>503</v>
      </c>
      <c r="D882" s="53" t="s">
        <v>504</v>
      </c>
      <c r="E882" s="53" t="s">
        <v>494</v>
      </c>
      <c r="F882" s="53">
        <v>0.57999999999999996</v>
      </c>
    </row>
    <row r="883" spans="1:6">
      <c r="A883" s="52">
        <v>33756</v>
      </c>
      <c r="B883" s="53" t="s">
        <v>510</v>
      </c>
      <c r="C883" s="53" t="s">
        <v>503</v>
      </c>
      <c r="D883" s="53" t="s">
        <v>505</v>
      </c>
      <c r="E883" s="53" t="s">
        <v>494</v>
      </c>
      <c r="F883" s="53">
        <v>0.57999999999999996</v>
      </c>
    </row>
    <row r="884" spans="1:6">
      <c r="A884" s="52">
        <v>33756</v>
      </c>
      <c r="B884" s="53" t="s">
        <v>510</v>
      </c>
      <c r="C884" s="53" t="s">
        <v>506</v>
      </c>
      <c r="D884" s="53" t="s">
        <v>504</v>
      </c>
      <c r="E884" s="53" t="s">
        <v>494</v>
      </c>
      <c r="F884" s="53">
        <v>0.57999999999999996</v>
      </c>
    </row>
    <row r="885" spans="1:6">
      <c r="A885" s="52">
        <v>33756</v>
      </c>
      <c r="B885" s="53" t="s">
        <v>510</v>
      </c>
      <c r="C885" s="53" t="s">
        <v>506</v>
      </c>
      <c r="D885" s="53" t="s">
        <v>505</v>
      </c>
      <c r="E885" s="53" t="s">
        <v>494</v>
      </c>
      <c r="F885" s="53">
        <v>0.57999999999999996</v>
      </c>
    </row>
    <row r="886" spans="1:6">
      <c r="A886" s="52">
        <v>33756</v>
      </c>
      <c r="B886" s="53" t="s">
        <v>511</v>
      </c>
      <c r="C886" s="53" t="s">
        <v>503</v>
      </c>
      <c r="D886" s="53" t="s">
        <v>504</v>
      </c>
      <c r="E886" s="53" t="s">
        <v>494</v>
      </c>
      <c r="F886" s="53">
        <v>0.57999999999999996</v>
      </c>
    </row>
    <row r="887" spans="1:6">
      <c r="A887" s="52">
        <v>33756</v>
      </c>
      <c r="B887" s="53" t="s">
        <v>511</v>
      </c>
      <c r="C887" s="53" t="s">
        <v>503</v>
      </c>
      <c r="D887" s="53" t="s">
        <v>505</v>
      </c>
      <c r="E887" s="53" t="s">
        <v>494</v>
      </c>
      <c r="F887" s="53">
        <v>0.57999999999999996</v>
      </c>
    </row>
    <row r="888" spans="1:6">
      <c r="A888" s="52">
        <v>33756</v>
      </c>
      <c r="B888" s="53" t="s">
        <v>511</v>
      </c>
      <c r="C888" s="53" t="s">
        <v>506</v>
      </c>
      <c r="D888" s="53" t="s">
        <v>504</v>
      </c>
      <c r="E888" s="53" t="s">
        <v>494</v>
      </c>
      <c r="F888" s="53">
        <v>0.57999999999999996</v>
      </c>
    </row>
    <row r="889" spans="1:6">
      <c r="A889" s="52">
        <v>33756</v>
      </c>
      <c r="B889" s="53" t="s">
        <v>511</v>
      </c>
      <c r="C889" s="53" t="s">
        <v>506</v>
      </c>
      <c r="D889" s="53" t="s">
        <v>505</v>
      </c>
      <c r="E889" s="53" t="s">
        <v>494</v>
      </c>
      <c r="F889" s="53">
        <v>0.57999999999999996</v>
      </c>
    </row>
    <row r="890" spans="1:6">
      <c r="A890" s="52">
        <v>33756</v>
      </c>
      <c r="B890" s="53" t="s">
        <v>502</v>
      </c>
      <c r="C890" s="53" t="s">
        <v>503</v>
      </c>
      <c r="D890" s="53" t="s">
        <v>504</v>
      </c>
      <c r="E890" s="53" t="s">
        <v>493</v>
      </c>
      <c r="F890" s="53">
        <v>0.57999999999999996</v>
      </c>
    </row>
    <row r="891" spans="1:6">
      <c r="A891" s="52">
        <v>33756</v>
      </c>
      <c r="B891" s="53" t="s">
        <v>502</v>
      </c>
      <c r="C891" s="53" t="s">
        <v>506</v>
      </c>
      <c r="D891" s="53" t="s">
        <v>504</v>
      </c>
      <c r="E891" s="53" t="s">
        <v>493</v>
      </c>
      <c r="F891" s="53">
        <v>0.57999999999999996</v>
      </c>
    </row>
    <row r="892" spans="1:6">
      <c r="A892" s="52">
        <v>33756</v>
      </c>
      <c r="B892" s="53" t="s">
        <v>502</v>
      </c>
      <c r="C892" s="53" t="s">
        <v>503</v>
      </c>
      <c r="D892" s="53" t="s">
        <v>505</v>
      </c>
      <c r="E892" s="53" t="s">
        <v>493</v>
      </c>
      <c r="F892" s="53">
        <v>0.57999999999999996</v>
      </c>
    </row>
    <row r="893" spans="1:6">
      <c r="A893" s="52">
        <v>33756</v>
      </c>
      <c r="B893" s="53" t="s">
        <v>502</v>
      </c>
      <c r="C893" s="53" t="s">
        <v>506</v>
      </c>
      <c r="D893" s="53" t="s">
        <v>505</v>
      </c>
      <c r="E893" s="53" t="s">
        <v>493</v>
      </c>
      <c r="F893" s="53">
        <v>0.57999999999999996</v>
      </c>
    </row>
    <row r="894" spans="1:6">
      <c r="A894" s="52">
        <v>33756</v>
      </c>
      <c r="B894" s="53" t="s">
        <v>507</v>
      </c>
      <c r="C894" s="53" t="s">
        <v>503</v>
      </c>
      <c r="D894" s="53" t="s">
        <v>504</v>
      </c>
      <c r="E894" s="53" t="s">
        <v>493</v>
      </c>
      <c r="F894" s="53">
        <v>0.41</v>
      </c>
    </row>
    <row r="895" spans="1:6">
      <c r="A895" s="52">
        <v>33756</v>
      </c>
      <c r="B895" s="53" t="s">
        <v>507</v>
      </c>
      <c r="C895" s="53" t="s">
        <v>506</v>
      </c>
      <c r="D895" s="53" t="s">
        <v>504</v>
      </c>
      <c r="E895" s="53" t="s">
        <v>493</v>
      </c>
      <c r="F895" s="53">
        <v>0.41</v>
      </c>
    </row>
    <row r="896" spans="1:6">
      <c r="A896" s="52">
        <v>33756</v>
      </c>
      <c r="B896" s="53" t="s">
        <v>507</v>
      </c>
      <c r="C896" s="53" t="s">
        <v>503</v>
      </c>
      <c r="D896" s="53" t="s">
        <v>505</v>
      </c>
      <c r="E896" s="53" t="s">
        <v>493</v>
      </c>
      <c r="F896" s="53">
        <v>0.41</v>
      </c>
    </row>
    <row r="897" spans="1:6">
      <c r="A897" s="52">
        <v>33756</v>
      </c>
      <c r="B897" s="53" t="s">
        <v>507</v>
      </c>
      <c r="C897" s="53" t="s">
        <v>506</v>
      </c>
      <c r="D897" s="53" t="s">
        <v>505</v>
      </c>
      <c r="E897" s="53" t="s">
        <v>493</v>
      </c>
      <c r="F897" s="53">
        <v>0.41</v>
      </c>
    </row>
    <row r="898" spans="1:6">
      <c r="A898" s="52">
        <v>33756</v>
      </c>
      <c r="B898" s="53" t="s">
        <v>508</v>
      </c>
      <c r="C898" s="53" t="s">
        <v>503</v>
      </c>
      <c r="D898" s="53" t="s">
        <v>504</v>
      </c>
      <c r="E898" s="53" t="s">
        <v>493</v>
      </c>
      <c r="F898" s="53">
        <v>0.57999999999999996</v>
      </c>
    </row>
    <row r="899" spans="1:6">
      <c r="A899" s="52">
        <v>33756</v>
      </c>
      <c r="B899" s="53" t="s">
        <v>509</v>
      </c>
      <c r="C899" s="53" t="s">
        <v>503</v>
      </c>
      <c r="D899" s="53" t="s">
        <v>504</v>
      </c>
      <c r="E899" s="53" t="s">
        <v>493</v>
      </c>
      <c r="F899" s="53">
        <v>0.57999999999999996</v>
      </c>
    </row>
    <row r="900" spans="1:6">
      <c r="A900" s="52">
        <v>33756</v>
      </c>
      <c r="B900" s="53" t="s">
        <v>508</v>
      </c>
      <c r="C900" s="53" t="s">
        <v>506</v>
      </c>
      <c r="D900" s="53" t="s">
        <v>504</v>
      </c>
      <c r="E900" s="53" t="s">
        <v>493</v>
      </c>
      <c r="F900" s="53">
        <v>0.57999999999999996</v>
      </c>
    </row>
    <row r="901" spans="1:6">
      <c r="A901" s="52">
        <v>33756</v>
      </c>
      <c r="B901" s="53" t="s">
        <v>509</v>
      </c>
      <c r="C901" s="53" t="s">
        <v>506</v>
      </c>
      <c r="D901" s="53" t="s">
        <v>504</v>
      </c>
      <c r="E901" s="53" t="s">
        <v>493</v>
      </c>
      <c r="F901" s="53">
        <v>0.57999999999999996</v>
      </c>
    </row>
    <row r="902" spans="1:6">
      <c r="A902" s="52">
        <v>33756</v>
      </c>
      <c r="B902" s="53" t="s">
        <v>508</v>
      </c>
      <c r="C902" s="53" t="s">
        <v>503</v>
      </c>
      <c r="D902" s="53" t="s">
        <v>505</v>
      </c>
      <c r="E902" s="53" t="s">
        <v>493</v>
      </c>
      <c r="F902" s="53">
        <v>0.57999999999999996</v>
      </c>
    </row>
    <row r="903" spans="1:6">
      <c r="A903" s="52">
        <v>33756</v>
      </c>
      <c r="B903" s="53" t="s">
        <v>509</v>
      </c>
      <c r="C903" s="53" t="s">
        <v>503</v>
      </c>
      <c r="D903" s="53" t="s">
        <v>505</v>
      </c>
      <c r="E903" s="53" t="s">
        <v>493</v>
      </c>
      <c r="F903" s="53">
        <v>0.57999999999999996</v>
      </c>
    </row>
    <row r="904" spans="1:6">
      <c r="A904" s="52">
        <v>33756</v>
      </c>
      <c r="B904" s="53" t="s">
        <v>508</v>
      </c>
      <c r="C904" s="53" t="s">
        <v>506</v>
      </c>
      <c r="D904" s="53" t="s">
        <v>505</v>
      </c>
      <c r="E904" s="53" t="s">
        <v>493</v>
      </c>
      <c r="F904" s="53">
        <v>0.57999999999999996</v>
      </c>
    </row>
    <row r="905" spans="1:6">
      <c r="A905" s="52">
        <v>33756</v>
      </c>
      <c r="B905" s="53" t="s">
        <v>509</v>
      </c>
      <c r="C905" s="53" t="s">
        <v>506</v>
      </c>
      <c r="D905" s="53" t="s">
        <v>505</v>
      </c>
      <c r="E905" s="53" t="s">
        <v>493</v>
      </c>
      <c r="F905" s="53">
        <v>0.57999999999999996</v>
      </c>
    </row>
    <row r="906" spans="1:6">
      <c r="A906" s="52">
        <v>33756</v>
      </c>
      <c r="B906" s="53" t="s">
        <v>510</v>
      </c>
      <c r="C906" s="53" t="s">
        <v>503</v>
      </c>
      <c r="D906" s="53" t="s">
        <v>504</v>
      </c>
      <c r="E906" s="53" t="s">
        <v>493</v>
      </c>
      <c r="F906" s="53">
        <v>0.57999999999999996</v>
      </c>
    </row>
    <row r="907" spans="1:6">
      <c r="A907" s="52">
        <v>33756</v>
      </c>
      <c r="B907" s="53" t="s">
        <v>510</v>
      </c>
      <c r="C907" s="53" t="s">
        <v>503</v>
      </c>
      <c r="D907" s="53" t="s">
        <v>505</v>
      </c>
      <c r="E907" s="53" t="s">
        <v>493</v>
      </c>
      <c r="F907" s="53">
        <v>0.57999999999999996</v>
      </c>
    </row>
    <row r="908" spans="1:6">
      <c r="A908" s="52">
        <v>33756</v>
      </c>
      <c r="B908" s="53" t="s">
        <v>510</v>
      </c>
      <c r="C908" s="53" t="s">
        <v>506</v>
      </c>
      <c r="D908" s="53" t="s">
        <v>504</v>
      </c>
      <c r="E908" s="53" t="s">
        <v>493</v>
      </c>
      <c r="F908" s="53">
        <v>0.57999999999999996</v>
      </c>
    </row>
    <row r="909" spans="1:6">
      <c r="A909" s="52">
        <v>33756</v>
      </c>
      <c r="B909" s="53" t="s">
        <v>510</v>
      </c>
      <c r="C909" s="53" t="s">
        <v>506</v>
      </c>
      <c r="D909" s="53" t="s">
        <v>505</v>
      </c>
      <c r="E909" s="53" t="s">
        <v>493</v>
      </c>
      <c r="F909" s="53">
        <v>0.57999999999999996</v>
      </c>
    </row>
    <row r="910" spans="1:6">
      <c r="A910" s="52">
        <v>33756</v>
      </c>
      <c r="B910" s="53" t="s">
        <v>511</v>
      </c>
      <c r="C910" s="53" t="s">
        <v>503</v>
      </c>
      <c r="D910" s="53" t="s">
        <v>504</v>
      </c>
      <c r="E910" s="53" t="s">
        <v>493</v>
      </c>
      <c r="F910" s="53">
        <v>0.57999999999999996</v>
      </c>
    </row>
    <row r="911" spans="1:6">
      <c r="A911" s="52">
        <v>33756</v>
      </c>
      <c r="B911" s="53" t="s">
        <v>511</v>
      </c>
      <c r="C911" s="53" t="s">
        <v>503</v>
      </c>
      <c r="D911" s="53" t="s">
        <v>505</v>
      </c>
      <c r="E911" s="53" t="s">
        <v>493</v>
      </c>
      <c r="F911" s="53">
        <v>0.57999999999999996</v>
      </c>
    </row>
    <row r="912" spans="1:6">
      <c r="A912" s="52">
        <v>33756</v>
      </c>
      <c r="B912" s="53" t="s">
        <v>511</v>
      </c>
      <c r="C912" s="53" t="s">
        <v>506</v>
      </c>
      <c r="D912" s="53" t="s">
        <v>504</v>
      </c>
      <c r="E912" s="53" t="s">
        <v>493</v>
      </c>
      <c r="F912" s="53">
        <v>0.57999999999999996</v>
      </c>
    </row>
    <row r="913" spans="1:6">
      <c r="A913" s="52">
        <v>33756</v>
      </c>
      <c r="B913" s="53" t="s">
        <v>511</v>
      </c>
      <c r="C913" s="53" t="s">
        <v>506</v>
      </c>
      <c r="D913" s="53" t="s">
        <v>505</v>
      </c>
      <c r="E913" s="53" t="s">
        <v>493</v>
      </c>
      <c r="F913" s="53">
        <v>0.57999999999999996</v>
      </c>
    </row>
    <row r="914" spans="1:6">
      <c r="A914" s="52">
        <v>33756</v>
      </c>
      <c r="B914" s="53" t="s">
        <v>502</v>
      </c>
      <c r="C914" s="53" t="s">
        <v>503</v>
      </c>
      <c r="D914" s="53" t="s">
        <v>504</v>
      </c>
      <c r="E914" s="53" t="s">
        <v>495</v>
      </c>
      <c r="F914" s="53">
        <v>0.76</v>
      </c>
    </row>
    <row r="915" spans="1:6">
      <c r="A915" s="52">
        <v>33756</v>
      </c>
      <c r="B915" s="53" t="s">
        <v>502</v>
      </c>
      <c r="C915" s="53" t="s">
        <v>506</v>
      </c>
      <c r="D915" s="53" t="s">
        <v>504</v>
      </c>
      <c r="E915" s="53" t="s">
        <v>495</v>
      </c>
      <c r="F915" s="53">
        <v>0.76</v>
      </c>
    </row>
    <row r="916" spans="1:6">
      <c r="A916" s="52">
        <v>33756</v>
      </c>
      <c r="B916" s="53" t="s">
        <v>502</v>
      </c>
      <c r="C916" s="53" t="s">
        <v>503</v>
      </c>
      <c r="D916" s="53" t="s">
        <v>505</v>
      </c>
      <c r="E916" s="53" t="s">
        <v>495</v>
      </c>
      <c r="F916" s="53">
        <v>0.76</v>
      </c>
    </row>
    <row r="917" spans="1:6">
      <c r="A917" s="52">
        <v>33756</v>
      </c>
      <c r="B917" s="53" t="s">
        <v>502</v>
      </c>
      <c r="C917" s="53" t="s">
        <v>506</v>
      </c>
      <c r="D917" s="53" t="s">
        <v>505</v>
      </c>
      <c r="E917" s="53" t="s">
        <v>495</v>
      </c>
      <c r="F917" s="53">
        <v>0.76</v>
      </c>
    </row>
    <row r="918" spans="1:6">
      <c r="A918" s="52">
        <v>33756</v>
      </c>
      <c r="B918" s="53" t="s">
        <v>507</v>
      </c>
      <c r="C918" s="53" t="s">
        <v>503</v>
      </c>
      <c r="D918" s="53" t="s">
        <v>504</v>
      </c>
      <c r="E918" s="53" t="s">
        <v>495</v>
      </c>
      <c r="F918" s="53">
        <v>0.52</v>
      </c>
    </row>
    <row r="919" spans="1:6">
      <c r="A919" s="52">
        <v>33756</v>
      </c>
      <c r="B919" s="53" t="s">
        <v>507</v>
      </c>
      <c r="C919" s="53" t="s">
        <v>506</v>
      </c>
      <c r="D919" s="53" t="s">
        <v>504</v>
      </c>
      <c r="E919" s="53" t="s">
        <v>495</v>
      </c>
      <c r="F919" s="53">
        <v>0.52</v>
      </c>
    </row>
    <row r="920" spans="1:6">
      <c r="A920" s="52">
        <v>33756</v>
      </c>
      <c r="B920" s="53" t="s">
        <v>507</v>
      </c>
      <c r="C920" s="53" t="s">
        <v>503</v>
      </c>
      <c r="D920" s="53" t="s">
        <v>505</v>
      </c>
      <c r="E920" s="53" t="s">
        <v>495</v>
      </c>
      <c r="F920" s="53">
        <v>0.52</v>
      </c>
    </row>
    <row r="921" spans="1:6">
      <c r="A921" s="52">
        <v>33756</v>
      </c>
      <c r="B921" s="53" t="s">
        <v>507</v>
      </c>
      <c r="C921" s="53" t="s">
        <v>506</v>
      </c>
      <c r="D921" s="53" t="s">
        <v>505</v>
      </c>
      <c r="E921" s="53" t="s">
        <v>495</v>
      </c>
      <c r="F921" s="53">
        <v>0.52</v>
      </c>
    </row>
    <row r="922" spans="1:6">
      <c r="A922" s="52">
        <v>33756</v>
      </c>
      <c r="B922" s="53" t="s">
        <v>508</v>
      </c>
      <c r="C922" s="53" t="s">
        <v>503</v>
      </c>
      <c r="D922" s="53" t="s">
        <v>504</v>
      </c>
      <c r="E922" s="53" t="s">
        <v>495</v>
      </c>
      <c r="F922" s="53">
        <v>0.76</v>
      </c>
    </row>
    <row r="923" spans="1:6">
      <c r="A923" s="52">
        <v>33756</v>
      </c>
      <c r="B923" s="53" t="s">
        <v>509</v>
      </c>
      <c r="C923" s="53" t="s">
        <v>503</v>
      </c>
      <c r="D923" s="53" t="s">
        <v>504</v>
      </c>
      <c r="E923" s="53" t="s">
        <v>495</v>
      </c>
      <c r="F923" s="53">
        <v>0.76</v>
      </c>
    </row>
    <row r="924" spans="1:6">
      <c r="A924" s="52">
        <v>33756</v>
      </c>
      <c r="B924" s="53" t="s">
        <v>508</v>
      </c>
      <c r="C924" s="53" t="s">
        <v>506</v>
      </c>
      <c r="D924" s="53" t="s">
        <v>504</v>
      </c>
      <c r="E924" s="53" t="s">
        <v>495</v>
      </c>
      <c r="F924" s="53">
        <v>0.76</v>
      </c>
    </row>
    <row r="925" spans="1:6">
      <c r="A925" s="52">
        <v>33756</v>
      </c>
      <c r="B925" s="53" t="s">
        <v>509</v>
      </c>
      <c r="C925" s="53" t="s">
        <v>506</v>
      </c>
      <c r="D925" s="53" t="s">
        <v>504</v>
      </c>
      <c r="E925" s="53" t="s">
        <v>495</v>
      </c>
      <c r="F925" s="53">
        <v>0.76</v>
      </c>
    </row>
    <row r="926" spans="1:6">
      <c r="A926" s="52">
        <v>33756</v>
      </c>
      <c r="B926" s="53" t="s">
        <v>508</v>
      </c>
      <c r="C926" s="53" t="s">
        <v>503</v>
      </c>
      <c r="D926" s="53" t="s">
        <v>505</v>
      </c>
      <c r="E926" s="53" t="s">
        <v>495</v>
      </c>
      <c r="F926" s="53">
        <v>0.76</v>
      </c>
    </row>
    <row r="927" spans="1:6">
      <c r="A927" s="52">
        <v>33756</v>
      </c>
      <c r="B927" s="53" t="s">
        <v>509</v>
      </c>
      <c r="C927" s="53" t="s">
        <v>503</v>
      </c>
      <c r="D927" s="53" t="s">
        <v>505</v>
      </c>
      <c r="E927" s="53" t="s">
        <v>495</v>
      </c>
      <c r="F927" s="53">
        <v>0.76</v>
      </c>
    </row>
    <row r="928" spans="1:6">
      <c r="A928" s="52">
        <v>33756</v>
      </c>
      <c r="B928" s="53" t="s">
        <v>508</v>
      </c>
      <c r="C928" s="53" t="s">
        <v>506</v>
      </c>
      <c r="D928" s="53" t="s">
        <v>505</v>
      </c>
      <c r="E928" s="53" t="s">
        <v>495</v>
      </c>
      <c r="F928" s="53">
        <v>0.76</v>
      </c>
    </row>
    <row r="929" spans="1:6">
      <c r="A929" s="52">
        <v>33756</v>
      </c>
      <c r="B929" s="53" t="s">
        <v>509</v>
      </c>
      <c r="C929" s="53" t="s">
        <v>506</v>
      </c>
      <c r="D929" s="53" t="s">
        <v>505</v>
      </c>
      <c r="E929" s="53" t="s">
        <v>495</v>
      </c>
      <c r="F929" s="53">
        <v>0.76</v>
      </c>
    </row>
    <row r="930" spans="1:6">
      <c r="A930" s="52">
        <v>33756</v>
      </c>
      <c r="B930" s="53" t="s">
        <v>510</v>
      </c>
      <c r="C930" s="53" t="s">
        <v>503</v>
      </c>
      <c r="D930" s="53" t="s">
        <v>504</v>
      </c>
      <c r="E930" s="53" t="s">
        <v>495</v>
      </c>
      <c r="F930" s="53">
        <v>0.76</v>
      </c>
    </row>
    <row r="931" spans="1:6">
      <c r="A931" s="52">
        <v>33756</v>
      </c>
      <c r="B931" s="53" t="s">
        <v>510</v>
      </c>
      <c r="C931" s="53" t="s">
        <v>503</v>
      </c>
      <c r="D931" s="53" t="s">
        <v>505</v>
      </c>
      <c r="E931" s="53" t="s">
        <v>495</v>
      </c>
      <c r="F931" s="53">
        <v>0.76</v>
      </c>
    </row>
    <row r="932" spans="1:6">
      <c r="A932" s="52">
        <v>33756</v>
      </c>
      <c r="B932" s="53" t="s">
        <v>510</v>
      </c>
      <c r="C932" s="53" t="s">
        <v>506</v>
      </c>
      <c r="D932" s="53" t="s">
        <v>504</v>
      </c>
      <c r="E932" s="53" t="s">
        <v>495</v>
      </c>
      <c r="F932" s="53">
        <v>0.76</v>
      </c>
    </row>
    <row r="933" spans="1:6">
      <c r="A933" s="52">
        <v>33756</v>
      </c>
      <c r="B933" s="53" t="s">
        <v>510</v>
      </c>
      <c r="C933" s="53" t="s">
        <v>506</v>
      </c>
      <c r="D933" s="53" t="s">
        <v>505</v>
      </c>
      <c r="E933" s="53" t="s">
        <v>495</v>
      </c>
      <c r="F933" s="53">
        <v>0.76</v>
      </c>
    </row>
    <row r="934" spans="1:6">
      <c r="A934" s="52">
        <v>33756</v>
      </c>
      <c r="B934" s="53" t="s">
        <v>511</v>
      </c>
      <c r="C934" s="53" t="s">
        <v>503</v>
      </c>
      <c r="D934" s="53" t="s">
        <v>504</v>
      </c>
      <c r="E934" s="53" t="s">
        <v>495</v>
      </c>
      <c r="F934" s="53">
        <v>0.76</v>
      </c>
    </row>
    <row r="935" spans="1:6">
      <c r="A935" s="52">
        <v>33756</v>
      </c>
      <c r="B935" s="53" t="s">
        <v>511</v>
      </c>
      <c r="C935" s="53" t="s">
        <v>503</v>
      </c>
      <c r="D935" s="53" t="s">
        <v>505</v>
      </c>
      <c r="E935" s="53" t="s">
        <v>495</v>
      </c>
      <c r="F935" s="53">
        <v>0.76</v>
      </c>
    </row>
    <row r="936" spans="1:6">
      <c r="A936" s="52">
        <v>33756</v>
      </c>
      <c r="B936" s="53" t="s">
        <v>511</v>
      </c>
      <c r="C936" s="53" t="s">
        <v>506</v>
      </c>
      <c r="D936" s="53" t="s">
        <v>504</v>
      </c>
      <c r="E936" s="53" t="s">
        <v>495</v>
      </c>
      <c r="F936" s="53">
        <v>0.76</v>
      </c>
    </row>
    <row r="937" spans="1:6">
      <c r="A937" s="52">
        <v>33756</v>
      </c>
      <c r="B937" s="53" t="s">
        <v>511</v>
      </c>
      <c r="C937" s="53" t="s">
        <v>506</v>
      </c>
      <c r="D937" s="53" t="s">
        <v>505</v>
      </c>
      <c r="E937" s="53" t="s">
        <v>495</v>
      </c>
      <c r="F937" s="53">
        <v>0.76</v>
      </c>
    </row>
    <row r="938" spans="1:6">
      <c r="A938" s="52">
        <v>33756</v>
      </c>
      <c r="B938" s="53" t="s">
        <v>502</v>
      </c>
      <c r="C938" s="53" t="s">
        <v>503</v>
      </c>
      <c r="D938" s="53" t="s">
        <v>504</v>
      </c>
      <c r="E938" s="53" t="s">
        <v>496</v>
      </c>
      <c r="F938" s="53">
        <v>1.1599999999999999</v>
      </c>
    </row>
    <row r="939" spans="1:6">
      <c r="A939" s="52">
        <v>33756</v>
      </c>
      <c r="B939" s="53" t="s">
        <v>502</v>
      </c>
      <c r="C939" s="53" t="s">
        <v>506</v>
      </c>
      <c r="D939" s="53" t="s">
        <v>504</v>
      </c>
      <c r="E939" s="53" t="s">
        <v>496</v>
      </c>
      <c r="F939" s="53">
        <v>1.1599999999999999</v>
      </c>
    </row>
    <row r="940" spans="1:6">
      <c r="A940" s="52">
        <v>33756</v>
      </c>
      <c r="B940" s="53" t="s">
        <v>502</v>
      </c>
      <c r="C940" s="53" t="s">
        <v>503</v>
      </c>
      <c r="D940" s="53" t="s">
        <v>505</v>
      </c>
      <c r="E940" s="53" t="s">
        <v>496</v>
      </c>
      <c r="F940" s="53">
        <v>1.1599999999999999</v>
      </c>
    </row>
    <row r="941" spans="1:6">
      <c r="A941" s="52">
        <v>33756</v>
      </c>
      <c r="B941" s="53" t="s">
        <v>502</v>
      </c>
      <c r="C941" s="53" t="s">
        <v>506</v>
      </c>
      <c r="D941" s="53" t="s">
        <v>505</v>
      </c>
      <c r="E941" s="53" t="s">
        <v>496</v>
      </c>
      <c r="F941" s="53">
        <v>1.1599999999999999</v>
      </c>
    </row>
    <row r="942" spans="1:6">
      <c r="A942" s="52">
        <v>33756</v>
      </c>
      <c r="B942" s="53" t="s">
        <v>507</v>
      </c>
      <c r="C942" s="53" t="s">
        <v>503</v>
      </c>
      <c r="D942" s="53" t="s">
        <v>504</v>
      </c>
      <c r="E942" s="53" t="s">
        <v>496</v>
      </c>
      <c r="F942" s="53">
        <v>0.76</v>
      </c>
    </row>
    <row r="943" spans="1:6">
      <c r="A943" s="52">
        <v>33756</v>
      </c>
      <c r="B943" s="53" t="s">
        <v>507</v>
      </c>
      <c r="C943" s="53" t="s">
        <v>506</v>
      </c>
      <c r="D943" s="53" t="s">
        <v>504</v>
      </c>
      <c r="E943" s="53" t="s">
        <v>496</v>
      </c>
      <c r="F943" s="53">
        <v>0.76</v>
      </c>
    </row>
    <row r="944" spans="1:6">
      <c r="A944" s="52">
        <v>33756</v>
      </c>
      <c r="B944" s="53" t="s">
        <v>507</v>
      </c>
      <c r="C944" s="53" t="s">
        <v>503</v>
      </c>
      <c r="D944" s="53" t="s">
        <v>505</v>
      </c>
      <c r="E944" s="53" t="s">
        <v>496</v>
      </c>
      <c r="F944" s="53">
        <v>0.76</v>
      </c>
    </row>
    <row r="945" spans="1:6">
      <c r="A945" s="52">
        <v>33756</v>
      </c>
      <c r="B945" s="53" t="s">
        <v>507</v>
      </c>
      <c r="C945" s="53" t="s">
        <v>506</v>
      </c>
      <c r="D945" s="53" t="s">
        <v>505</v>
      </c>
      <c r="E945" s="53" t="s">
        <v>496</v>
      </c>
      <c r="F945" s="53">
        <v>0.76</v>
      </c>
    </row>
    <row r="946" spans="1:6">
      <c r="A946" s="52">
        <v>33756</v>
      </c>
      <c r="B946" s="53" t="s">
        <v>508</v>
      </c>
      <c r="C946" s="53" t="s">
        <v>503</v>
      </c>
      <c r="D946" s="53" t="s">
        <v>504</v>
      </c>
      <c r="E946" s="53" t="s">
        <v>496</v>
      </c>
      <c r="F946" s="53">
        <v>1.1599999999999999</v>
      </c>
    </row>
    <row r="947" spans="1:6">
      <c r="A947" s="52">
        <v>33756</v>
      </c>
      <c r="B947" s="53" t="s">
        <v>509</v>
      </c>
      <c r="C947" s="53" t="s">
        <v>503</v>
      </c>
      <c r="D947" s="53" t="s">
        <v>504</v>
      </c>
      <c r="E947" s="53" t="s">
        <v>496</v>
      </c>
      <c r="F947" s="53">
        <v>1.1599999999999999</v>
      </c>
    </row>
    <row r="948" spans="1:6">
      <c r="A948" s="52">
        <v>33756</v>
      </c>
      <c r="B948" s="53" t="s">
        <v>508</v>
      </c>
      <c r="C948" s="53" t="s">
        <v>506</v>
      </c>
      <c r="D948" s="53" t="s">
        <v>504</v>
      </c>
      <c r="E948" s="53" t="s">
        <v>496</v>
      </c>
      <c r="F948" s="53">
        <v>1.1599999999999999</v>
      </c>
    </row>
    <row r="949" spans="1:6">
      <c r="A949" s="52">
        <v>33756</v>
      </c>
      <c r="B949" s="53" t="s">
        <v>509</v>
      </c>
      <c r="C949" s="53" t="s">
        <v>506</v>
      </c>
      <c r="D949" s="53" t="s">
        <v>504</v>
      </c>
      <c r="E949" s="53" t="s">
        <v>496</v>
      </c>
      <c r="F949" s="53">
        <v>1.1599999999999999</v>
      </c>
    </row>
    <row r="950" spans="1:6">
      <c r="A950" s="52">
        <v>33756</v>
      </c>
      <c r="B950" s="53" t="s">
        <v>508</v>
      </c>
      <c r="C950" s="53" t="s">
        <v>503</v>
      </c>
      <c r="D950" s="53" t="s">
        <v>505</v>
      </c>
      <c r="E950" s="53" t="s">
        <v>496</v>
      </c>
      <c r="F950" s="53">
        <v>1.1599999999999999</v>
      </c>
    </row>
    <row r="951" spans="1:6">
      <c r="A951" s="52">
        <v>33756</v>
      </c>
      <c r="B951" s="53" t="s">
        <v>509</v>
      </c>
      <c r="C951" s="53" t="s">
        <v>503</v>
      </c>
      <c r="D951" s="53" t="s">
        <v>505</v>
      </c>
      <c r="E951" s="53" t="s">
        <v>496</v>
      </c>
      <c r="F951" s="53">
        <v>1.1599999999999999</v>
      </c>
    </row>
    <row r="952" spans="1:6">
      <c r="A952" s="52">
        <v>33756</v>
      </c>
      <c r="B952" s="53" t="s">
        <v>508</v>
      </c>
      <c r="C952" s="53" t="s">
        <v>506</v>
      </c>
      <c r="D952" s="53" t="s">
        <v>505</v>
      </c>
      <c r="E952" s="53" t="s">
        <v>496</v>
      </c>
      <c r="F952" s="53">
        <v>1.1599999999999999</v>
      </c>
    </row>
    <row r="953" spans="1:6">
      <c r="A953" s="52">
        <v>33756</v>
      </c>
      <c r="B953" s="53" t="s">
        <v>509</v>
      </c>
      <c r="C953" s="53" t="s">
        <v>506</v>
      </c>
      <c r="D953" s="53" t="s">
        <v>505</v>
      </c>
      <c r="E953" s="53" t="s">
        <v>496</v>
      </c>
      <c r="F953" s="53">
        <v>1.1599999999999999</v>
      </c>
    </row>
    <row r="954" spans="1:6">
      <c r="A954" s="52">
        <v>33756</v>
      </c>
      <c r="B954" s="53" t="s">
        <v>510</v>
      </c>
      <c r="C954" s="53" t="s">
        <v>503</v>
      </c>
      <c r="D954" s="53" t="s">
        <v>504</v>
      </c>
      <c r="E954" s="53" t="s">
        <v>496</v>
      </c>
      <c r="F954" s="53">
        <v>1.1599999999999999</v>
      </c>
    </row>
    <row r="955" spans="1:6">
      <c r="A955" s="52">
        <v>33756</v>
      </c>
      <c r="B955" s="53" t="s">
        <v>510</v>
      </c>
      <c r="C955" s="53" t="s">
        <v>503</v>
      </c>
      <c r="D955" s="53" t="s">
        <v>505</v>
      </c>
      <c r="E955" s="53" t="s">
        <v>496</v>
      </c>
      <c r="F955" s="53">
        <v>1.1599999999999999</v>
      </c>
    </row>
    <row r="956" spans="1:6">
      <c r="A956" s="52">
        <v>33756</v>
      </c>
      <c r="B956" s="53" t="s">
        <v>510</v>
      </c>
      <c r="C956" s="53" t="s">
        <v>506</v>
      </c>
      <c r="D956" s="53" t="s">
        <v>504</v>
      </c>
      <c r="E956" s="53" t="s">
        <v>496</v>
      </c>
      <c r="F956" s="53">
        <v>1.1599999999999999</v>
      </c>
    </row>
    <row r="957" spans="1:6">
      <c r="A957" s="52">
        <v>33756</v>
      </c>
      <c r="B957" s="53" t="s">
        <v>510</v>
      </c>
      <c r="C957" s="53" t="s">
        <v>506</v>
      </c>
      <c r="D957" s="53" t="s">
        <v>505</v>
      </c>
      <c r="E957" s="53" t="s">
        <v>496</v>
      </c>
      <c r="F957" s="53">
        <v>1.1599999999999999</v>
      </c>
    </row>
    <row r="958" spans="1:6">
      <c r="A958" s="52">
        <v>33756</v>
      </c>
      <c r="B958" s="53" t="s">
        <v>511</v>
      </c>
      <c r="C958" s="53" t="s">
        <v>503</v>
      </c>
      <c r="D958" s="53" t="s">
        <v>504</v>
      </c>
      <c r="E958" s="53" t="s">
        <v>496</v>
      </c>
      <c r="F958" s="53">
        <v>1.1599999999999999</v>
      </c>
    </row>
    <row r="959" spans="1:6">
      <c r="A959" s="52">
        <v>33756</v>
      </c>
      <c r="B959" s="53" t="s">
        <v>511</v>
      </c>
      <c r="C959" s="53" t="s">
        <v>503</v>
      </c>
      <c r="D959" s="53" t="s">
        <v>505</v>
      </c>
      <c r="E959" s="53" t="s">
        <v>496</v>
      </c>
      <c r="F959" s="53">
        <v>1.1599999999999999</v>
      </c>
    </row>
    <row r="960" spans="1:6">
      <c r="A960" s="52">
        <v>33756</v>
      </c>
      <c r="B960" s="53" t="s">
        <v>511</v>
      </c>
      <c r="C960" s="53" t="s">
        <v>506</v>
      </c>
      <c r="D960" s="53" t="s">
        <v>504</v>
      </c>
      <c r="E960" s="53" t="s">
        <v>496</v>
      </c>
      <c r="F960" s="53">
        <v>1.1599999999999999</v>
      </c>
    </row>
    <row r="961" spans="1:6">
      <c r="A961" s="52">
        <v>33756</v>
      </c>
      <c r="B961" s="53" t="s">
        <v>511</v>
      </c>
      <c r="C961" s="53" t="s">
        <v>506</v>
      </c>
      <c r="D961" s="53" t="s">
        <v>505</v>
      </c>
      <c r="E961" s="53" t="s">
        <v>496</v>
      </c>
      <c r="F961" s="53">
        <v>1.1599999999999999</v>
      </c>
    </row>
    <row r="962" spans="1:6">
      <c r="A962" s="52">
        <v>31979</v>
      </c>
      <c r="B962" s="53" t="s">
        <v>502</v>
      </c>
      <c r="C962" s="53" t="s">
        <v>503</v>
      </c>
      <c r="D962" s="53" t="s">
        <v>504</v>
      </c>
      <c r="E962" s="53" t="s">
        <v>494</v>
      </c>
      <c r="F962" s="53">
        <v>0.57999999999999996</v>
      </c>
    </row>
    <row r="963" spans="1:6">
      <c r="A963" s="52">
        <v>31979</v>
      </c>
      <c r="B963" s="53" t="s">
        <v>502</v>
      </c>
      <c r="C963" s="53" t="s">
        <v>506</v>
      </c>
      <c r="D963" s="53" t="s">
        <v>504</v>
      </c>
      <c r="E963" s="53" t="s">
        <v>494</v>
      </c>
      <c r="F963" s="53">
        <v>0.57999999999999996</v>
      </c>
    </row>
    <row r="964" spans="1:6">
      <c r="A964" s="52">
        <v>31979</v>
      </c>
      <c r="B964" s="53" t="s">
        <v>502</v>
      </c>
      <c r="C964" s="53" t="s">
        <v>503</v>
      </c>
      <c r="D964" s="53" t="s">
        <v>505</v>
      </c>
      <c r="E964" s="53" t="s">
        <v>494</v>
      </c>
      <c r="F964" s="53">
        <v>0.57999999999999996</v>
      </c>
    </row>
    <row r="965" spans="1:6">
      <c r="A965" s="52">
        <v>31979</v>
      </c>
      <c r="B965" s="53" t="s">
        <v>502</v>
      </c>
      <c r="C965" s="53" t="s">
        <v>506</v>
      </c>
      <c r="D965" s="53" t="s">
        <v>505</v>
      </c>
      <c r="E965" s="53" t="s">
        <v>494</v>
      </c>
      <c r="F965" s="53">
        <v>0.57999999999999996</v>
      </c>
    </row>
    <row r="966" spans="1:6">
      <c r="A966" s="52">
        <v>31979</v>
      </c>
      <c r="B966" s="53" t="s">
        <v>507</v>
      </c>
      <c r="C966" s="53" t="s">
        <v>503</v>
      </c>
      <c r="D966" s="53" t="s">
        <v>504</v>
      </c>
      <c r="E966" s="53" t="s">
        <v>494</v>
      </c>
      <c r="F966" s="53">
        <v>0.41</v>
      </c>
    </row>
    <row r="967" spans="1:6">
      <c r="A967" s="52">
        <v>31979</v>
      </c>
      <c r="B967" s="53" t="s">
        <v>507</v>
      </c>
      <c r="C967" s="53" t="s">
        <v>506</v>
      </c>
      <c r="D967" s="53" t="s">
        <v>504</v>
      </c>
      <c r="E967" s="53" t="s">
        <v>494</v>
      </c>
      <c r="F967" s="53">
        <v>0.41</v>
      </c>
    </row>
    <row r="968" spans="1:6">
      <c r="A968" s="52">
        <v>31979</v>
      </c>
      <c r="B968" s="53" t="s">
        <v>507</v>
      </c>
      <c r="C968" s="53" t="s">
        <v>503</v>
      </c>
      <c r="D968" s="53" t="s">
        <v>505</v>
      </c>
      <c r="E968" s="53" t="s">
        <v>494</v>
      </c>
      <c r="F968" s="53">
        <v>0.41</v>
      </c>
    </row>
    <row r="969" spans="1:6">
      <c r="A969" s="52">
        <v>31979</v>
      </c>
      <c r="B969" s="53" t="s">
        <v>507</v>
      </c>
      <c r="C969" s="53" t="s">
        <v>506</v>
      </c>
      <c r="D969" s="53" t="s">
        <v>505</v>
      </c>
      <c r="E969" s="53" t="s">
        <v>494</v>
      </c>
      <c r="F969" s="53">
        <v>0.41</v>
      </c>
    </row>
    <row r="970" spans="1:6">
      <c r="A970" s="52">
        <v>31979</v>
      </c>
      <c r="B970" s="53" t="s">
        <v>508</v>
      </c>
      <c r="C970" s="53" t="s">
        <v>503</v>
      </c>
      <c r="D970" s="53" t="s">
        <v>504</v>
      </c>
      <c r="E970" s="53" t="s">
        <v>494</v>
      </c>
      <c r="F970" s="53">
        <v>0.57999999999999996</v>
      </c>
    </row>
    <row r="971" spans="1:6">
      <c r="A971" s="52">
        <v>31979</v>
      </c>
      <c r="B971" s="53" t="s">
        <v>509</v>
      </c>
      <c r="C971" s="53" t="s">
        <v>503</v>
      </c>
      <c r="D971" s="53" t="s">
        <v>504</v>
      </c>
      <c r="E971" s="53" t="s">
        <v>494</v>
      </c>
      <c r="F971" s="53">
        <v>0.57999999999999996</v>
      </c>
    </row>
    <row r="972" spans="1:6">
      <c r="A972" s="52">
        <v>31979</v>
      </c>
      <c r="B972" s="53" t="s">
        <v>508</v>
      </c>
      <c r="C972" s="53" t="s">
        <v>506</v>
      </c>
      <c r="D972" s="53" t="s">
        <v>504</v>
      </c>
      <c r="E972" s="53" t="s">
        <v>494</v>
      </c>
      <c r="F972" s="53">
        <v>0.57999999999999996</v>
      </c>
    </row>
    <row r="973" spans="1:6">
      <c r="A973" s="52">
        <v>31979</v>
      </c>
      <c r="B973" s="53" t="s">
        <v>509</v>
      </c>
      <c r="C973" s="53" t="s">
        <v>506</v>
      </c>
      <c r="D973" s="53" t="s">
        <v>504</v>
      </c>
      <c r="E973" s="53" t="s">
        <v>494</v>
      </c>
      <c r="F973" s="53">
        <v>0.57999999999999996</v>
      </c>
    </row>
    <row r="974" spans="1:6">
      <c r="A974" s="52">
        <v>31979</v>
      </c>
      <c r="B974" s="53" t="s">
        <v>508</v>
      </c>
      <c r="C974" s="53" t="s">
        <v>503</v>
      </c>
      <c r="D974" s="53" t="s">
        <v>505</v>
      </c>
      <c r="E974" s="53" t="s">
        <v>494</v>
      </c>
      <c r="F974" s="53">
        <v>0.57999999999999996</v>
      </c>
    </row>
    <row r="975" spans="1:6">
      <c r="A975" s="52">
        <v>31979</v>
      </c>
      <c r="B975" s="53" t="s">
        <v>509</v>
      </c>
      <c r="C975" s="53" t="s">
        <v>503</v>
      </c>
      <c r="D975" s="53" t="s">
        <v>505</v>
      </c>
      <c r="E975" s="53" t="s">
        <v>494</v>
      </c>
      <c r="F975" s="53">
        <v>0.57999999999999996</v>
      </c>
    </row>
    <row r="976" spans="1:6">
      <c r="A976" s="52">
        <v>31979</v>
      </c>
      <c r="B976" s="53" t="s">
        <v>508</v>
      </c>
      <c r="C976" s="53" t="s">
        <v>506</v>
      </c>
      <c r="D976" s="53" t="s">
        <v>505</v>
      </c>
      <c r="E976" s="53" t="s">
        <v>494</v>
      </c>
      <c r="F976" s="53">
        <v>0.57999999999999996</v>
      </c>
    </row>
    <row r="977" spans="1:6">
      <c r="A977" s="52">
        <v>31979</v>
      </c>
      <c r="B977" s="53" t="s">
        <v>509</v>
      </c>
      <c r="C977" s="53" t="s">
        <v>506</v>
      </c>
      <c r="D977" s="53" t="s">
        <v>505</v>
      </c>
      <c r="E977" s="53" t="s">
        <v>494</v>
      </c>
      <c r="F977" s="53">
        <v>0.57999999999999996</v>
      </c>
    </row>
    <row r="978" spans="1:6">
      <c r="A978" s="52">
        <v>31979</v>
      </c>
      <c r="B978" s="53" t="s">
        <v>510</v>
      </c>
      <c r="C978" s="53" t="s">
        <v>503</v>
      </c>
      <c r="D978" s="53" t="s">
        <v>504</v>
      </c>
      <c r="E978" s="53" t="s">
        <v>494</v>
      </c>
      <c r="F978" s="53">
        <v>0.57999999999999996</v>
      </c>
    </row>
    <row r="979" spans="1:6">
      <c r="A979" s="52">
        <v>31979</v>
      </c>
      <c r="B979" s="53" t="s">
        <v>510</v>
      </c>
      <c r="C979" s="53" t="s">
        <v>503</v>
      </c>
      <c r="D979" s="53" t="s">
        <v>505</v>
      </c>
      <c r="E979" s="53" t="s">
        <v>494</v>
      </c>
      <c r="F979" s="53">
        <v>0.57999999999999996</v>
      </c>
    </row>
    <row r="980" spans="1:6">
      <c r="A980" s="52">
        <v>31979</v>
      </c>
      <c r="B980" s="53" t="s">
        <v>510</v>
      </c>
      <c r="C980" s="53" t="s">
        <v>506</v>
      </c>
      <c r="D980" s="53" t="s">
        <v>504</v>
      </c>
      <c r="E980" s="53" t="s">
        <v>494</v>
      </c>
      <c r="F980" s="53">
        <v>0.57999999999999996</v>
      </c>
    </row>
    <row r="981" spans="1:6">
      <c r="A981" s="52">
        <v>31979</v>
      </c>
      <c r="B981" s="53" t="s">
        <v>510</v>
      </c>
      <c r="C981" s="53" t="s">
        <v>506</v>
      </c>
      <c r="D981" s="53" t="s">
        <v>505</v>
      </c>
      <c r="E981" s="53" t="s">
        <v>494</v>
      </c>
      <c r="F981" s="53">
        <v>0.57999999999999996</v>
      </c>
    </row>
    <row r="982" spans="1:6">
      <c r="A982" s="52">
        <v>31979</v>
      </c>
      <c r="B982" s="53" t="s">
        <v>511</v>
      </c>
      <c r="C982" s="53" t="s">
        <v>503</v>
      </c>
      <c r="D982" s="53" t="s">
        <v>504</v>
      </c>
      <c r="E982" s="53" t="s">
        <v>494</v>
      </c>
      <c r="F982" s="53">
        <v>0.57999999999999996</v>
      </c>
    </row>
    <row r="983" spans="1:6">
      <c r="A983" s="52">
        <v>31979</v>
      </c>
      <c r="B983" s="53" t="s">
        <v>511</v>
      </c>
      <c r="C983" s="53" t="s">
        <v>503</v>
      </c>
      <c r="D983" s="53" t="s">
        <v>505</v>
      </c>
      <c r="E983" s="53" t="s">
        <v>494</v>
      </c>
      <c r="F983" s="53">
        <v>0.57999999999999996</v>
      </c>
    </row>
    <row r="984" spans="1:6">
      <c r="A984" s="52">
        <v>31979</v>
      </c>
      <c r="B984" s="53" t="s">
        <v>511</v>
      </c>
      <c r="C984" s="53" t="s">
        <v>506</v>
      </c>
      <c r="D984" s="53" t="s">
        <v>504</v>
      </c>
      <c r="E984" s="53" t="s">
        <v>494</v>
      </c>
      <c r="F984" s="53">
        <v>0.57999999999999996</v>
      </c>
    </row>
    <row r="985" spans="1:6">
      <c r="A985" s="52">
        <v>31979</v>
      </c>
      <c r="B985" s="53" t="s">
        <v>511</v>
      </c>
      <c r="C985" s="53" t="s">
        <v>506</v>
      </c>
      <c r="D985" s="53" t="s">
        <v>505</v>
      </c>
      <c r="E985" s="53" t="s">
        <v>494</v>
      </c>
      <c r="F985" s="53">
        <v>0.57999999999999996</v>
      </c>
    </row>
    <row r="986" spans="1:6">
      <c r="A986" s="52">
        <v>31979</v>
      </c>
      <c r="B986" s="53" t="s">
        <v>502</v>
      </c>
      <c r="C986" s="53" t="s">
        <v>503</v>
      </c>
      <c r="D986" s="53" t="s">
        <v>504</v>
      </c>
      <c r="E986" s="53" t="s">
        <v>493</v>
      </c>
      <c r="F986" s="53">
        <v>0.57999999999999996</v>
      </c>
    </row>
    <row r="987" spans="1:6">
      <c r="A987" s="52">
        <v>31979</v>
      </c>
      <c r="B987" s="53" t="s">
        <v>502</v>
      </c>
      <c r="C987" s="53" t="s">
        <v>506</v>
      </c>
      <c r="D987" s="53" t="s">
        <v>504</v>
      </c>
      <c r="E987" s="53" t="s">
        <v>493</v>
      </c>
      <c r="F987" s="53">
        <v>0.57999999999999996</v>
      </c>
    </row>
    <row r="988" spans="1:6">
      <c r="A988" s="52">
        <v>31979</v>
      </c>
      <c r="B988" s="53" t="s">
        <v>502</v>
      </c>
      <c r="C988" s="53" t="s">
        <v>503</v>
      </c>
      <c r="D988" s="53" t="s">
        <v>505</v>
      </c>
      <c r="E988" s="53" t="s">
        <v>493</v>
      </c>
      <c r="F988" s="53">
        <v>0.57999999999999996</v>
      </c>
    </row>
    <row r="989" spans="1:6">
      <c r="A989" s="52">
        <v>31979</v>
      </c>
      <c r="B989" s="53" t="s">
        <v>502</v>
      </c>
      <c r="C989" s="53" t="s">
        <v>506</v>
      </c>
      <c r="D989" s="53" t="s">
        <v>505</v>
      </c>
      <c r="E989" s="53" t="s">
        <v>493</v>
      </c>
      <c r="F989" s="53">
        <v>0.57999999999999996</v>
      </c>
    </row>
    <row r="990" spans="1:6">
      <c r="A990" s="52">
        <v>31979</v>
      </c>
      <c r="B990" s="53" t="s">
        <v>507</v>
      </c>
      <c r="C990" s="53" t="s">
        <v>503</v>
      </c>
      <c r="D990" s="53" t="s">
        <v>504</v>
      </c>
      <c r="E990" s="53" t="s">
        <v>493</v>
      </c>
      <c r="F990" s="53">
        <v>0.41</v>
      </c>
    </row>
    <row r="991" spans="1:6">
      <c r="A991" s="52">
        <v>31979</v>
      </c>
      <c r="B991" s="53" t="s">
        <v>507</v>
      </c>
      <c r="C991" s="53" t="s">
        <v>506</v>
      </c>
      <c r="D991" s="53" t="s">
        <v>504</v>
      </c>
      <c r="E991" s="53" t="s">
        <v>493</v>
      </c>
      <c r="F991" s="53">
        <v>0.41</v>
      </c>
    </row>
    <row r="992" spans="1:6">
      <c r="A992" s="52">
        <v>31979</v>
      </c>
      <c r="B992" s="53" t="s">
        <v>507</v>
      </c>
      <c r="C992" s="53" t="s">
        <v>503</v>
      </c>
      <c r="D992" s="53" t="s">
        <v>505</v>
      </c>
      <c r="E992" s="53" t="s">
        <v>493</v>
      </c>
      <c r="F992" s="53">
        <v>0.41</v>
      </c>
    </row>
    <row r="993" spans="1:6">
      <c r="A993" s="52">
        <v>31979</v>
      </c>
      <c r="B993" s="53" t="s">
        <v>507</v>
      </c>
      <c r="C993" s="53" t="s">
        <v>506</v>
      </c>
      <c r="D993" s="53" t="s">
        <v>505</v>
      </c>
      <c r="E993" s="53" t="s">
        <v>493</v>
      </c>
      <c r="F993" s="53">
        <v>0.41</v>
      </c>
    </row>
    <row r="994" spans="1:6">
      <c r="A994" s="52">
        <v>31979</v>
      </c>
      <c r="B994" s="53" t="s">
        <v>508</v>
      </c>
      <c r="C994" s="53" t="s">
        <v>503</v>
      </c>
      <c r="D994" s="53" t="s">
        <v>504</v>
      </c>
      <c r="E994" s="53" t="s">
        <v>493</v>
      </c>
      <c r="F994" s="53">
        <v>0.57999999999999996</v>
      </c>
    </row>
    <row r="995" spans="1:6">
      <c r="A995" s="52">
        <v>31979</v>
      </c>
      <c r="B995" s="53" t="s">
        <v>509</v>
      </c>
      <c r="C995" s="53" t="s">
        <v>503</v>
      </c>
      <c r="D995" s="53" t="s">
        <v>504</v>
      </c>
      <c r="E995" s="53" t="s">
        <v>493</v>
      </c>
      <c r="F995" s="53">
        <v>0.57999999999999996</v>
      </c>
    </row>
    <row r="996" spans="1:6">
      <c r="A996" s="52">
        <v>31979</v>
      </c>
      <c r="B996" s="53" t="s">
        <v>508</v>
      </c>
      <c r="C996" s="53" t="s">
        <v>506</v>
      </c>
      <c r="D996" s="53" t="s">
        <v>504</v>
      </c>
      <c r="E996" s="53" t="s">
        <v>493</v>
      </c>
      <c r="F996" s="53">
        <v>0.57999999999999996</v>
      </c>
    </row>
    <row r="997" spans="1:6">
      <c r="A997" s="52">
        <v>31979</v>
      </c>
      <c r="B997" s="53" t="s">
        <v>509</v>
      </c>
      <c r="C997" s="53" t="s">
        <v>506</v>
      </c>
      <c r="D997" s="53" t="s">
        <v>504</v>
      </c>
      <c r="E997" s="53" t="s">
        <v>493</v>
      </c>
      <c r="F997" s="53">
        <v>0.57999999999999996</v>
      </c>
    </row>
    <row r="998" spans="1:6">
      <c r="A998" s="52">
        <v>31979</v>
      </c>
      <c r="B998" s="53" t="s">
        <v>508</v>
      </c>
      <c r="C998" s="53" t="s">
        <v>503</v>
      </c>
      <c r="D998" s="53" t="s">
        <v>505</v>
      </c>
      <c r="E998" s="53" t="s">
        <v>493</v>
      </c>
      <c r="F998" s="53">
        <v>0.57999999999999996</v>
      </c>
    </row>
    <row r="999" spans="1:6">
      <c r="A999" s="52">
        <v>31979</v>
      </c>
      <c r="B999" s="53" t="s">
        <v>509</v>
      </c>
      <c r="C999" s="53" t="s">
        <v>503</v>
      </c>
      <c r="D999" s="53" t="s">
        <v>505</v>
      </c>
      <c r="E999" s="53" t="s">
        <v>493</v>
      </c>
      <c r="F999" s="53">
        <v>0.57999999999999996</v>
      </c>
    </row>
    <row r="1000" spans="1:6">
      <c r="A1000" s="52">
        <v>31979</v>
      </c>
      <c r="B1000" s="53" t="s">
        <v>508</v>
      </c>
      <c r="C1000" s="53" t="s">
        <v>506</v>
      </c>
      <c r="D1000" s="53" t="s">
        <v>505</v>
      </c>
      <c r="E1000" s="53" t="s">
        <v>493</v>
      </c>
      <c r="F1000" s="53">
        <v>0.57999999999999996</v>
      </c>
    </row>
    <row r="1001" spans="1:6">
      <c r="A1001" s="52">
        <v>31979</v>
      </c>
      <c r="B1001" s="53" t="s">
        <v>509</v>
      </c>
      <c r="C1001" s="53" t="s">
        <v>506</v>
      </c>
      <c r="D1001" s="53" t="s">
        <v>505</v>
      </c>
      <c r="E1001" s="53" t="s">
        <v>493</v>
      </c>
      <c r="F1001" s="53">
        <v>0.57999999999999996</v>
      </c>
    </row>
    <row r="1002" spans="1:6">
      <c r="A1002" s="52">
        <v>31979</v>
      </c>
      <c r="B1002" s="53" t="s">
        <v>510</v>
      </c>
      <c r="C1002" s="53" t="s">
        <v>503</v>
      </c>
      <c r="D1002" s="53" t="s">
        <v>504</v>
      </c>
      <c r="E1002" s="53" t="s">
        <v>493</v>
      </c>
      <c r="F1002" s="53">
        <v>0.57999999999999996</v>
      </c>
    </row>
    <row r="1003" spans="1:6">
      <c r="A1003" s="52">
        <v>31979</v>
      </c>
      <c r="B1003" s="53" t="s">
        <v>510</v>
      </c>
      <c r="C1003" s="53" t="s">
        <v>503</v>
      </c>
      <c r="D1003" s="53" t="s">
        <v>505</v>
      </c>
      <c r="E1003" s="53" t="s">
        <v>493</v>
      </c>
      <c r="F1003" s="53">
        <v>0.57999999999999996</v>
      </c>
    </row>
    <row r="1004" spans="1:6">
      <c r="A1004" s="52">
        <v>31979</v>
      </c>
      <c r="B1004" s="53" t="s">
        <v>510</v>
      </c>
      <c r="C1004" s="53" t="s">
        <v>506</v>
      </c>
      <c r="D1004" s="53" t="s">
        <v>504</v>
      </c>
      <c r="E1004" s="53" t="s">
        <v>493</v>
      </c>
      <c r="F1004" s="53">
        <v>0.57999999999999996</v>
      </c>
    </row>
    <row r="1005" spans="1:6">
      <c r="A1005" s="52">
        <v>31979</v>
      </c>
      <c r="B1005" s="53" t="s">
        <v>510</v>
      </c>
      <c r="C1005" s="53" t="s">
        <v>506</v>
      </c>
      <c r="D1005" s="53" t="s">
        <v>505</v>
      </c>
      <c r="E1005" s="53" t="s">
        <v>493</v>
      </c>
      <c r="F1005" s="53">
        <v>0.57999999999999996</v>
      </c>
    </row>
    <row r="1006" spans="1:6">
      <c r="A1006" s="52">
        <v>31979</v>
      </c>
      <c r="B1006" s="53" t="s">
        <v>511</v>
      </c>
      <c r="C1006" s="53" t="s">
        <v>503</v>
      </c>
      <c r="D1006" s="53" t="s">
        <v>504</v>
      </c>
      <c r="E1006" s="53" t="s">
        <v>493</v>
      </c>
      <c r="F1006" s="53">
        <v>0.57999999999999996</v>
      </c>
    </row>
    <row r="1007" spans="1:6">
      <c r="A1007" s="52">
        <v>31979</v>
      </c>
      <c r="B1007" s="53" t="s">
        <v>511</v>
      </c>
      <c r="C1007" s="53" t="s">
        <v>503</v>
      </c>
      <c r="D1007" s="53" t="s">
        <v>505</v>
      </c>
      <c r="E1007" s="53" t="s">
        <v>493</v>
      </c>
      <c r="F1007" s="53">
        <v>0.57999999999999996</v>
      </c>
    </row>
    <row r="1008" spans="1:6">
      <c r="A1008" s="52">
        <v>31979</v>
      </c>
      <c r="B1008" s="53" t="s">
        <v>511</v>
      </c>
      <c r="C1008" s="53" t="s">
        <v>506</v>
      </c>
      <c r="D1008" s="53" t="s">
        <v>504</v>
      </c>
      <c r="E1008" s="53" t="s">
        <v>493</v>
      </c>
      <c r="F1008" s="53">
        <v>0.57999999999999996</v>
      </c>
    </row>
    <row r="1009" spans="1:6">
      <c r="A1009" s="52">
        <v>31979</v>
      </c>
      <c r="B1009" s="53" t="s">
        <v>511</v>
      </c>
      <c r="C1009" s="53" t="s">
        <v>506</v>
      </c>
      <c r="D1009" s="53" t="s">
        <v>505</v>
      </c>
      <c r="E1009" s="53" t="s">
        <v>493</v>
      </c>
      <c r="F1009" s="53">
        <v>0.57999999999999996</v>
      </c>
    </row>
    <row r="1010" spans="1:6">
      <c r="A1010" s="52">
        <v>31979</v>
      </c>
      <c r="B1010" s="53" t="s">
        <v>502</v>
      </c>
      <c r="C1010" s="53" t="s">
        <v>503</v>
      </c>
      <c r="D1010" s="53" t="s">
        <v>504</v>
      </c>
      <c r="E1010" s="53" t="s">
        <v>495</v>
      </c>
      <c r="F1010" s="53">
        <v>0.76</v>
      </c>
    </row>
    <row r="1011" spans="1:6">
      <c r="A1011" s="52">
        <v>31979</v>
      </c>
      <c r="B1011" s="53" t="s">
        <v>502</v>
      </c>
      <c r="C1011" s="53" t="s">
        <v>506</v>
      </c>
      <c r="D1011" s="53" t="s">
        <v>504</v>
      </c>
      <c r="E1011" s="53" t="s">
        <v>495</v>
      </c>
      <c r="F1011" s="53">
        <v>0.76</v>
      </c>
    </row>
    <row r="1012" spans="1:6">
      <c r="A1012" s="52">
        <v>31979</v>
      </c>
      <c r="B1012" s="53" t="s">
        <v>502</v>
      </c>
      <c r="C1012" s="53" t="s">
        <v>503</v>
      </c>
      <c r="D1012" s="53" t="s">
        <v>505</v>
      </c>
      <c r="E1012" s="53" t="s">
        <v>495</v>
      </c>
      <c r="F1012" s="53">
        <v>0.76</v>
      </c>
    </row>
    <row r="1013" spans="1:6">
      <c r="A1013" s="52">
        <v>31979</v>
      </c>
      <c r="B1013" s="53" t="s">
        <v>502</v>
      </c>
      <c r="C1013" s="53" t="s">
        <v>506</v>
      </c>
      <c r="D1013" s="53" t="s">
        <v>505</v>
      </c>
      <c r="E1013" s="53" t="s">
        <v>495</v>
      </c>
      <c r="F1013" s="53">
        <v>0.76</v>
      </c>
    </row>
    <row r="1014" spans="1:6">
      <c r="A1014" s="52">
        <v>31979</v>
      </c>
      <c r="B1014" s="53" t="s">
        <v>507</v>
      </c>
      <c r="C1014" s="53" t="s">
        <v>503</v>
      </c>
      <c r="D1014" s="53" t="s">
        <v>504</v>
      </c>
      <c r="E1014" s="53" t="s">
        <v>495</v>
      </c>
      <c r="F1014" s="53">
        <v>0.52</v>
      </c>
    </row>
    <row r="1015" spans="1:6">
      <c r="A1015" s="52">
        <v>31979</v>
      </c>
      <c r="B1015" s="53" t="s">
        <v>507</v>
      </c>
      <c r="C1015" s="53" t="s">
        <v>506</v>
      </c>
      <c r="D1015" s="53" t="s">
        <v>504</v>
      </c>
      <c r="E1015" s="53" t="s">
        <v>495</v>
      </c>
      <c r="F1015" s="53">
        <v>0.52</v>
      </c>
    </row>
    <row r="1016" spans="1:6">
      <c r="A1016" s="52">
        <v>31979</v>
      </c>
      <c r="B1016" s="53" t="s">
        <v>507</v>
      </c>
      <c r="C1016" s="53" t="s">
        <v>503</v>
      </c>
      <c r="D1016" s="53" t="s">
        <v>505</v>
      </c>
      <c r="E1016" s="53" t="s">
        <v>495</v>
      </c>
      <c r="F1016" s="53">
        <v>0.52</v>
      </c>
    </row>
    <row r="1017" spans="1:6">
      <c r="A1017" s="52">
        <v>31979</v>
      </c>
      <c r="B1017" s="53" t="s">
        <v>507</v>
      </c>
      <c r="C1017" s="53" t="s">
        <v>506</v>
      </c>
      <c r="D1017" s="53" t="s">
        <v>505</v>
      </c>
      <c r="E1017" s="53" t="s">
        <v>495</v>
      </c>
      <c r="F1017" s="53">
        <v>0.52</v>
      </c>
    </row>
    <row r="1018" spans="1:6">
      <c r="A1018" s="52">
        <v>31979</v>
      </c>
      <c r="B1018" s="53" t="s">
        <v>508</v>
      </c>
      <c r="C1018" s="53" t="s">
        <v>503</v>
      </c>
      <c r="D1018" s="53" t="s">
        <v>504</v>
      </c>
      <c r="E1018" s="53" t="s">
        <v>495</v>
      </c>
      <c r="F1018" s="53">
        <v>0.76</v>
      </c>
    </row>
    <row r="1019" spans="1:6">
      <c r="A1019" s="52">
        <v>31979</v>
      </c>
      <c r="B1019" s="53" t="s">
        <v>509</v>
      </c>
      <c r="C1019" s="53" t="s">
        <v>503</v>
      </c>
      <c r="D1019" s="53" t="s">
        <v>504</v>
      </c>
      <c r="E1019" s="53" t="s">
        <v>495</v>
      </c>
      <c r="F1019" s="53">
        <v>0.76</v>
      </c>
    </row>
    <row r="1020" spans="1:6">
      <c r="A1020" s="52">
        <v>31979</v>
      </c>
      <c r="B1020" s="53" t="s">
        <v>508</v>
      </c>
      <c r="C1020" s="53" t="s">
        <v>506</v>
      </c>
      <c r="D1020" s="53" t="s">
        <v>504</v>
      </c>
      <c r="E1020" s="53" t="s">
        <v>495</v>
      </c>
      <c r="F1020" s="53">
        <v>0.76</v>
      </c>
    </row>
    <row r="1021" spans="1:6">
      <c r="A1021" s="52">
        <v>31979</v>
      </c>
      <c r="B1021" s="53" t="s">
        <v>509</v>
      </c>
      <c r="C1021" s="53" t="s">
        <v>506</v>
      </c>
      <c r="D1021" s="53" t="s">
        <v>504</v>
      </c>
      <c r="E1021" s="53" t="s">
        <v>495</v>
      </c>
      <c r="F1021" s="53">
        <v>0.76</v>
      </c>
    </row>
    <row r="1022" spans="1:6">
      <c r="A1022" s="52">
        <v>31979</v>
      </c>
      <c r="B1022" s="53" t="s">
        <v>508</v>
      </c>
      <c r="C1022" s="53" t="s">
        <v>503</v>
      </c>
      <c r="D1022" s="53" t="s">
        <v>505</v>
      </c>
      <c r="E1022" s="53" t="s">
        <v>495</v>
      </c>
      <c r="F1022" s="53">
        <v>0.76</v>
      </c>
    </row>
    <row r="1023" spans="1:6">
      <c r="A1023" s="52">
        <v>31979</v>
      </c>
      <c r="B1023" s="53" t="s">
        <v>509</v>
      </c>
      <c r="C1023" s="53" t="s">
        <v>503</v>
      </c>
      <c r="D1023" s="53" t="s">
        <v>505</v>
      </c>
      <c r="E1023" s="53" t="s">
        <v>495</v>
      </c>
      <c r="F1023" s="53">
        <v>0.76</v>
      </c>
    </row>
    <row r="1024" spans="1:6">
      <c r="A1024" s="52">
        <v>31979</v>
      </c>
      <c r="B1024" s="53" t="s">
        <v>508</v>
      </c>
      <c r="C1024" s="53" t="s">
        <v>506</v>
      </c>
      <c r="D1024" s="53" t="s">
        <v>505</v>
      </c>
      <c r="E1024" s="53" t="s">
        <v>495</v>
      </c>
      <c r="F1024" s="53">
        <v>0.76</v>
      </c>
    </row>
    <row r="1025" spans="1:6">
      <c r="A1025" s="52">
        <v>31979</v>
      </c>
      <c r="B1025" s="53" t="s">
        <v>509</v>
      </c>
      <c r="C1025" s="53" t="s">
        <v>506</v>
      </c>
      <c r="D1025" s="53" t="s">
        <v>505</v>
      </c>
      <c r="E1025" s="53" t="s">
        <v>495</v>
      </c>
      <c r="F1025" s="53">
        <v>0.76</v>
      </c>
    </row>
    <row r="1026" spans="1:6">
      <c r="A1026" s="52">
        <v>31979</v>
      </c>
      <c r="B1026" s="53" t="s">
        <v>510</v>
      </c>
      <c r="C1026" s="53" t="s">
        <v>503</v>
      </c>
      <c r="D1026" s="53" t="s">
        <v>504</v>
      </c>
      <c r="E1026" s="53" t="s">
        <v>495</v>
      </c>
      <c r="F1026" s="53">
        <v>0.76</v>
      </c>
    </row>
    <row r="1027" spans="1:6">
      <c r="A1027" s="52">
        <v>31979</v>
      </c>
      <c r="B1027" s="53" t="s">
        <v>510</v>
      </c>
      <c r="C1027" s="53" t="s">
        <v>503</v>
      </c>
      <c r="D1027" s="53" t="s">
        <v>505</v>
      </c>
      <c r="E1027" s="53" t="s">
        <v>495</v>
      </c>
      <c r="F1027" s="53">
        <v>0.76</v>
      </c>
    </row>
    <row r="1028" spans="1:6">
      <c r="A1028" s="52">
        <v>31979</v>
      </c>
      <c r="B1028" s="53" t="s">
        <v>510</v>
      </c>
      <c r="C1028" s="53" t="s">
        <v>506</v>
      </c>
      <c r="D1028" s="53" t="s">
        <v>504</v>
      </c>
      <c r="E1028" s="53" t="s">
        <v>495</v>
      </c>
      <c r="F1028" s="53">
        <v>0.76</v>
      </c>
    </row>
    <row r="1029" spans="1:6">
      <c r="A1029" s="52">
        <v>31979</v>
      </c>
      <c r="B1029" s="53" t="s">
        <v>510</v>
      </c>
      <c r="C1029" s="53" t="s">
        <v>506</v>
      </c>
      <c r="D1029" s="53" t="s">
        <v>505</v>
      </c>
      <c r="E1029" s="53" t="s">
        <v>495</v>
      </c>
      <c r="F1029" s="53">
        <v>0.76</v>
      </c>
    </row>
    <row r="1030" spans="1:6">
      <c r="A1030" s="52">
        <v>31979</v>
      </c>
      <c r="B1030" s="53" t="s">
        <v>511</v>
      </c>
      <c r="C1030" s="53" t="s">
        <v>503</v>
      </c>
      <c r="D1030" s="53" t="s">
        <v>504</v>
      </c>
      <c r="E1030" s="53" t="s">
        <v>495</v>
      </c>
      <c r="F1030" s="53">
        <v>0.76</v>
      </c>
    </row>
    <row r="1031" spans="1:6">
      <c r="A1031" s="52">
        <v>31979</v>
      </c>
      <c r="B1031" s="53" t="s">
        <v>511</v>
      </c>
      <c r="C1031" s="53" t="s">
        <v>503</v>
      </c>
      <c r="D1031" s="53" t="s">
        <v>505</v>
      </c>
      <c r="E1031" s="53" t="s">
        <v>495</v>
      </c>
      <c r="F1031" s="53">
        <v>0.76</v>
      </c>
    </row>
    <row r="1032" spans="1:6">
      <c r="A1032" s="52">
        <v>31979</v>
      </c>
      <c r="B1032" s="53" t="s">
        <v>511</v>
      </c>
      <c r="C1032" s="53" t="s">
        <v>506</v>
      </c>
      <c r="D1032" s="53" t="s">
        <v>504</v>
      </c>
      <c r="E1032" s="53" t="s">
        <v>495</v>
      </c>
      <c r="F1032" s="53">
        <v>0.76</v>
      </c>
    </row>
    <row r="1033" spans="1:6">
      <c r="A1033" s="52">
        <v>31979</v>
      </c>
      <c r="B1033" s="53" t="s">
        <v>511</v>
      </c>
      <c r="C1033" s="53" t="s">
        <v>506</v>
      </c>
      <c r="D1033" s="53" t="s">
        <v>505</v>
      </c>
      <c r="E1033" s="53" t="s">
        <v>495</v>
      </c>
      <c r="F1033" s="53">
        <v>0.76</v>
      </c>
    </row>
    <row r="1034" spans="1:6">
      <c r="A1034" s="52">
        <v>31979</v>
      </c>
      <c r="B1034" s="53" t="s">
        <v>502</v>
      </c>
      <c r="C1034" s="53" t="s">
        <v>503</v>
      </c>
      <c r="D1034" s="53" t="s">
        <v>504</v>
      </c>
      <c r="E1034" s="53" t="s">
        <v>496</v>
      </c>
      <c r="F1034" s="53">
        <v>1.1599999999999999</v>
      </c>
    </row>
    <row r="1035" spans="1:6">
      <c r="A1035" s="52">
        <v>31979</v>
      </c>
      <c r="B1035" s="53" t="s">
        <v>502</v>
      </c>
      <c r="C1035" s="53" t="s">
        <v>506</v>
      </c>
      <c r="D1035" s="53" t="s">
        <v>504</v>
      </c>
      <c r="E1035" s="53" t="s">
        <v>496</v>
      </c>
      <c r="F1035" s="53">
        <v>1.1599999999999999</v>
      </c>
    </row>
    <row r="1036" spans="1:6">
      <c r="A1036" s="52">
        <v>31979</v>
      </c>
      <c r="B1036" s="53" t="s">
        <v>502</v>
      </c>
      <c r="C1036" s="53" t="s">
        <v>503</v>
      </c>
      <c r="D1036" s="53" t="s">
        <v>505</v>
      </c>
      <c r="E1036" s="53" t="s">
        <v>496</v>
      </c>
      <c r="F1036" s="53">
        <v>1.1599999999999999</v>
      </c>
    </row>
    <row r="1037" spans="1:6">
      <c r="A1037" s="52">
        <v>31979</v>
      </c>
      <c r="B1037" s="53" t="s">
        <v>502</v>
      </c>
      <c r="C1037" s="53" t="s">
        <v>506</v>
      </c>
      <c r="D1037" s="53" t="s">
        <v>505</v>
      </c>
      <c r="E1037" s="53" t="s">
        <v>496</v>
      </c>
      <c r="F1037" s="53">
        <v>1.1599999999999999</v>
      </c>
    </row>
    <row r="1038" spans="1:6">
      <c r="A1038" s="52">
        <v>31979</v>
      </c>
      <c r="B1038" s="53" t="s">
        <v>507</v>
      </c>
      <c r="C1038" s="53" t="s">
        <v>503</v>
      </c>
      <c r="D1038" s="53" t="s">
        <v>504</v>
      </c>
      <c r="E1038" s="53" t="s">
        <v>496</v>
      </c>
      <c r="F1038" s="53">
        <v>0.76</v>
      </c>
    </row>
    <row r="1039" spans="1:6">
      <c r="A1039" s="52">
        <v>31979</v>
      </c>
      <c r="B1039" s="53" t="s">
        <v>507</v>
      </c>
      <c r="C1039" s="53" t="s">
        <v>506</v>
      </c>
      <c r="D1039" s="53" t="s">
        <v>504</v>
      </c>
      <c r="E1039" s="53" t="s">
        <v>496</v>
      </c>
      <c r="F1039" s="53">
        <v>0.76</v>
      </c>
    </row>
    <row r="1040" spans="1:6">
      <c r="A1040" s="52">
        <v>31979</v>
      </c>
      <c r="B1040" s="53" t="s">
        <v>507</v>
      </c>
      <c r="C1040" s="53" t="s">
        <v>503</v>
      </c>
      <c r="D1040" s="53" t="s">
        <v>505</v>
      </c>
      <c r="E1040" s="53" t="s">
        <v>496</v>
      </c>
      <c r="F1040" s="53">
        <v>0.76</v>
      </c>
    </row>
    <row r="1041" spans="1:6">
      <c r="A1041" s="52">
        <v>31979</v>
      </c>
      <c r="B1041" s="53" t="s">
        <v>507</v>
      </c>
      <c r="C1041" s="53" t="s">
        <v>506</v>
      </c>
      <c r="D1041" s="53" t="s">
        <v>505</v>
      </c>
      <c r="E1041" s="53" t="s">
        <v>496</v>
      </c>
      <c r="F1041" s="53">
        <v>0.76</v>
      </c>
    </row>
    <row r="1042" spans="1:6">
      <c r="A1042" s="52">
        <v>31979</v>
      </c>
      <c r="B1042" s="53" t="s">
        <v>508</v>
      </c>
      <c r="C1042" s="53" t="s">
        <v>503</v>
      </c>
      <c r="D1042" s="53" t="s">
        <v>504</v>
      </c>
      <c r="E1042" s="53" t="s">
        <v>496</v>
      </c>
      <c r="F1042" s="53">
        <v>1.1599999999999999</v>
      </c>
    </row>
    <row r="1043" spans="1:6">
      <c r="A1043" s="52">
        <v>31979</v>
      </c>
      <c r="B1043" s="53" t="s">
        <v>509</v>
      </c>
      <c r="C1043" s="53" t="s">
        <v>503</v>
      </c>
      <c r="D1043" s="53" t="s">
        <v>504</v>
      </c>
      <c r="E1043" s="53" t="s">
        <v>496</v>
      </c>
      <c r="F1043" s="53">
        <v>1.1599999999999999</v>
      </c>
    </row>
    <row r="1044" spans="1:6">
      <c r="A1044" s="52">
        <v>31979</v>
      </c>
      <c r="B1044" s="53" t="s">
        <v>508</v>
      </c>
      <c r="C1044" s="53" t="s">
        <v>506</v>
      </c>
      <c r="D1044" s="53" t="s">
        <v>504</v>
      </c>
      <c r="E1044" s="53" t="s">
        <v>496</v>
      </c>
      <c r="F1044" s="53">
        <v>1.1599999999999999</v>
      </c>
    </row>
    <row r="1045" spans="1:6">
      <c r="A1045" s="52">
        <v>31979</v>
      </c>
      <c r="B1045" s="53" t="s">
        <v>509</v>
      </c>
      <c r="C1045" s="53" t="s">
        <v>506</v>
      </c>
      <c r="D1045" s="53" t="s">
        <v>504</v>
      </c>
      <c r="E1045" s="53" t="s">
        <v>496</v>
      </c>
      <c r="F1045" s="53">
        <v>1.1599999999999999</v>
      </c>
    </row>
    <row r="1046" spans="1:6">
      <c r="A1046" s="52">
        <v>31979</v>
      </c>
      <c r="B1046" s="53" t="s">
        <v>508</v>
      </c>
      <c r="C1046" s="53" t="s">
        <v>503</v>
      </c>
      <c r="D1046" s="53" t="s">
        <v>505</v>
      </c>
      <c r="E1046" s="53" t="s">
        <v>496</v>
      </c>
      <c r="F1046" s="53">
        <v>1.1599999999999999</v>
      </c>
    </row>
    <row r="1047" spans="1:6">
      <c r="A1047" s="52">
        <v>31979</v>
      </c>
      <c r="B1047" s="53" t="s">
        <v>509</v>
      </c>
      <c r="C1047" s="53" t="s">
        <v>503</v>
      </c>
      <c r="D1047" s="53" t="s">
        <v>505</v>
      </c>
      <c r="E1047" s="53" t="s">
        <v>496</v>
      </c>
      <c r="F1047" s="53">
        <v>1.1599999999999999</v>
      </c>
    </row>
    <row r="1048" spans="1:6">
      <c r="A1048" s="52">
        <v>31979</v>
      </c>
      <c r="B1048" s="53" t="s">
        <v>508</v>
      </c>
      <c r="C1048" s="53" t="s">
        <v>506</v>
      </c>
      <c r="D1048" s="53" t="s">
        <v>505</v>
      </c>
      <c r="E1048" s="53" t="s">
        <v>496</v>
      </c>
      <c r="F1048" s="53">
        <v>1.1599999999999999</v>
      </c>
    </row>
    <row r="1049" spans="1:6">
      <c r="A1049" s="52">
        <v>31979</v>
      </c>
      <c r="B1049" s="53" t="s">
        <v>509</v>
      </c>
      <c r="C1049" s="53" t="s">
        <v>506</v>
      </c>
      <c r="D1049" s="53" t="s">
        <v>505</v>
      </c>
      <c r="E1049" s="53" t="s">
        <v>496</v>
      </c>
      <c r="F1049" s="53">
        <v>1.1599999999999999</v>
      </c>
    </row>
    <row r="1050" spans="1:6">
      <c r="A1050" s="52">
        <v>31979</v>
      </c>
      <c r="B1050" s="53" t="s">
        <v>510</v>
      </c>
      <c r="C1050" s="53" t="s">
        <v>503</v>
      </c>
      <c r="D1050" s="53" t="s">
        <v>504</v>
      </c>
      <c r="E1050" s="53" t="s">
        <v>496</v>
      </c>
      <c r="F1050" s="53">
        <v>1.1599999999999999</v>
      </c>
    </row>
    <row r="1051" spans="1:6">
      <c r="A1051" s="52">
        <v>31979</v>
      </c>
      <c r="B1051" s="53" t="s">
        <v>510</v>
      </c>
      <c r="C1051" s="53" t="s">
        <v>503</v>
      </c>
      <c r="D1051" s="53" t="s">
        <v>505</v>
      </c>
      <c r="E1051" s="53" t="s">
        <v>496</v>
      </c>
      <c r="F1051" s="53">
        <v>1.1599999999999999</v>
      </c>
    </row>
    <row r="1052" spans="1:6">
      <c r="A1052" s="52">
        <v>31979</v>
      </c>
      <c r="B1052" s="53" t="s">
        <v>510</v>
      </c>
      <c r="C1052" s="53" t="s">
        <v>506</v>
      </c>
      <c r="D1052" s="53" t="s">
        <v>504</v>
      </c>
      <c r="E1052" s="53" t="s">
        <v>496</v>
      </c>
      <c r="F1052" s="53">
        <v>1.1599999999999999</v>
      </c>
    </row>
    <row r="1053" spans="1:6">
      <c r="A1053" s="52">
        <v>31979</v>
      </c>
      <c r="B1053" s="53" t="s">
        <v>510</v>
      </c>
      <c r="C1053" s="53" t="s">
        <v>506</v>
      </c>
      <c r="D1053" s="53" t="s">
        <v>505</v>
      </c>
      <c r="E1053" s="53" t="s">
        <v>496</v>
      </c>
      <c r="F1053" s="53">
        <v>1.1599999999999999</v>
      </c>
    </row>
    <row r="1054" spans="1:6">
      <c r="A1054" s="52">
        <v>31979</v>
      </c>
      <c r="B1054" s="53" t="s">
        <v>511</v>
      </c>
      <c r="C1054" s="53" t="s">
        <v>503</v>
      </c>
      <c r="D1054" s="53" t="s">
        <v>504</v>
      </c>
      <c r="E1054" s="53" t="s">
        <v>496</v>
      </c>
      <c r="F1054" s="53">
        <v>1.1599999999999999</v>
      </c>
    </row>
    <row r="1055" spans="1:6">
      <c r="A1055" s="52">
        <v>31979</v>
      </c>
      <c r="B1055" s="53" t="s">
        <v>511</v>
      </c>
      <c r="C1055" s="53" t="s">
        <v>503</v>
      </c>
      <c r="D1055" s="53" t="s">
        <v>505</v>
      </c>
      <c r="E1055" s="53" t="s">
        <v>496</v>
      </c>
      <c r="F1055" s="53">
        <v>1.1599999999999999</v>
      </c>
    </row>
    <row r="1056" spans="1:6">
      <c r="A1056" s="52">
        <v>31979</v>
      </c>
      <c r="B1056" s="53" t="s">
        <v>511</v>
      </c>
      <c r="C1056" s="53" t="s">
        <v>506</v>
      </c>
      <c r="D1056" s="53" t="s">
        <v>504</v>
      </c>
      <c r="E1056" s="53" t="s">
        <v>496</v>
      </c>
      <c r="F1056" s="53">
        <v>1.1599999999999999</v>
      </c>
    </row>
    <row r="1057" spans="1:6">
      <c r="A1057" s="52">
        <v>31979</v>
      </c>
      <c r="B1057" s="53" t="s">
        <v>511</v>
      </c>
      <c r="C1057" s="53" t="s">
        <v>506</v>
      </c>
      <c r="D1057" s="53" t="s">
        <v>505</v>
      </c>
      <c r="E1057" s="53" t="s">
        <v>496</v>
      </c>
      <c r="F1057" s="53">
        <v>1.1599999999999999</v>
      </c>
    </row>
    <row r="1058" spans="1:6">
      <c r="A1058" s="52">
        <v>30758</v>
      </c>
      <c r="B1058" s="53" t="s">
        <v>502</v>
      </c>
      <c r="C1058" s="53" t="s">
        <v>503</v>
      </c>
      <c r="D1058" s="53" t="s">
        <v>504</v>
      </c>
      <c r="E1058" s="53" t="s">
        <v>494</v>
      </c>
      <c r="F1058" s="53">
        <v>0.57999999999999996</v>
      </c>
    </row>
    <row r="1059" spans="1:6">
      <c r="A1059" s="52">
        <v>30758</v>
      </c>
      <c r="B1059" s="53" t="s">
        <v>502</v>
      </c>
      <c r="C1059" s="53" t="s">
        <v>506</v>
      </c>
      <c r="D1059" s="53" t="s">
        <v>504</v>
      </c>
      <c r="E1059" s="53" t="s">
        <v>494</v>
      </c>
      <c r="F1059" s="53">
        <v>0.57999999999999996</v>
      </c>
    </row>
    <row r="1060" spans="1:6">
      <c r="A1060" s="52">
        <v>30758</v>
      </c>
      <c r="B1060" s="53" t="s">
        <v>502</v>
      </c>
      <c r="C1060" s="53" t="s">
        <v>503</v>
      </c>
      <c r="D1060" s="53" t="s">
        <v>505</v>
      </c>
      <c r="E1060" s="53" t="s">
        <v>494</v>
      </c>
      <c r="F1060" s="53">
        <v>0.57999999999999996</v>
      </c>
    </row>
    <row r="1061" spans="1:6">
      <c r="A1061" s="52">
        <v>30758</v>
      </c>
      <c r="B1061" s="53" t="s">
        <v>502</v>
      </c>
      <c r="C1061" s="53" t="s">
        <v>506</v>
      </c>
      <c r="D1061" s="53" t="s">
        <v>505</v>
      </c>
      <c r="E1061" s="53" t="s">
        <v>494</v>
      </c>
      <c r="F1061" s="53">
        <v>0.57999999999999996</v>
      </c>
    </row>
    <row r="1062" spans="1:6">
      <c r="A1062" s="52">
        <v>30758</v>
      </c>
      <c r="B1062" s="53" t="s">
        <v>507</v>
      </c>
      <c r="C1062" s="53" t="s">
        <v>503</v>
      </c>
      <c r="D1062" s="53" t="s">
        <v>504</v>
      </c>
      <c r="E1062" s="53" t="s">
        <v>494</v>
      </c>
      <c r="F1062" s="53">
        <v>0.57999999999999996</v>
      </c>
    </row>
    <row r="1063" spans="1:6">
      <c r="A1063" s="52">
        <v>30758</v>
      </c>
      <c r="B1063" s="53" t="s">
        <v>507</v>
      </c>
      <c r="C1063" s="53" t="s">
        <v>506</v>
      </c>
      <c r="D1063" s="53" t="s">
        <v>504</v>
      </c>
      <c r="E1063" s="53" t="s">
        <v>494</v>
      </c>
      <c r="F1063" s="53">
        <v>0.57999999999999996</v>
      </c>
    </row>
    <row r="1064" spans="1:6">
      <c r="A1064" s="52">
        <v>30758</v>
      </c>
      <c r="B1064" s="53" t="s">
        <v>507</v>
      </c>
      <c r="C1064" s="53" t="s">
        <v>503</v>
      </c>
      <c r="D1064" s="53" t="s">
        <v>505</v>
      </c>
      <c r="E1064" s="53" t="s">
        <v>494</v>
      </c>
      <c r="F1064" s="53">
        <v>0.57999999999999996</v>
      </c>
    </row>
    <row r="1065" spans="1:6">
      <c r="A1065" s="52">
        <v>30758</v>
      </c>
      <c r="B1065" s="53" t="s">
        <v>507</v>
      </c>
      <c r="C1065" s="53" t="s">
        <v>506</v>
      </c>
      <c r="D1065" s="53" t="s">
        <v>505</v>
      </c>
      <c r="E1065" s="53" t="s">
        <v>494</v>
      </c>
      <c r="F1065" s="53">
        <v>0.57999999999999996</v>
      </c>
    </row>
    <row r="1066" spans="1:6">
      <c r="A1066" s="52">
        <v>30758</v>
      </c>
      <c r="B1066" s="53" t="s">
        <v>508</v>
      </c>
      <c r="C1066" s="53" t="s">
        <v>503</v>
      </c>
      <c r="D1066" s="53" t="s">
        <v>504</v>
      </c>
      <c r="E1066" s="53" t="s">
        <v>494</v>
      </c>
      <c r="F1066" s="53">
        <v>0.57999999999999996</v>
      </c>
    </row>
    <row r="1067" spans="1:6">
      <c r="A1067" s="52">
        <v>30758</v>
      </c>
      <c r="B1067" s="53" t="s">
        <v>509</v>
      </c>
      <c r="C1067" s="53" t="s">
        <v>503</v>
      </c>
      <c r="D1067" s="53" t="s">
        <v>504</v>
      </c>
      <c r="E1067" s="53" t="s">
        <v>494</v>
      </c>
      <c r="F1067" s="53">
        <v>0.57999999999999996</v>
      </c>
    </row>
    <row r="1068" spans="1:6">
      <c r="A1068" s="52">
        <v>30758</v>
      </c>
      <c r="B1068" s="53" t="s">
        <v>508</v>
      </c>
      <c r="C1068" s="53" t="s">
        <v>506</v>
      </c>
      <c r="D1068" s="53" t="s">
        <v>504</v>
      </c>
      <c r="E1068" s="53" t="s">
        <v>494</v>
      </c>
      <c r="F1068" s="53">
        <v>0.57999999999999996</v>
      </c>
    </row>
    <row r="1069" spans="1:6">
      <c r="A1069" s="52">
        <v>30758</v>
      </c>
      <c r="B1069" s="53" t="s">
        <v>509</v>
      </c>
      <c r="C1069" s="53" t="s">
        <v>506</v>
      </c>
      <c r="D1069" s="53" t="s">
        <v>504</v>
      </c>
      <c r="E1069" s="53" t="s">
        <v>494</v>
      </c>
      <c r="F1069" s="53">
        <v>0.57999999999999996</v>
      </c>
    </row>
    <row r="1070" spans="1:6">
      <c r="A1070" s="52">
        <v>30758</v>
      </c>
      <c r="B1070" s="53" t="s">
        <v>508</v>
      </c>
      <c r="C1070" s="53" t="s">
        <v>503</v>
      </c>
      <c r="D1070" s="53" t="s">
        <v>505</v>
      </c>
      <c r="E1070" s="53" t="s">
        <v>494</v>
      </c>
      <c r="F1070" s="53">
        <v>0.57999999999999996</v>
      </c>
    </row>
    <row r="1071" spans="1:6">
      <c r="A1071" s="52">
        <v>30758</v>
      </c>
      <c r="B1071" s="53" t="s">
        <v>509</v>
      </c>
      <c r="C1071" s="53" t="s">
        <v>503</v>
      </c>
      <c r="D1071" s="53" t="s">
        <v>505</v>
      </c>
      <c r="E1071" s="53" t="s">
        <v>494</v>
      </c>
      <c r="F1071" s="53">
        <v>0.57999999999999996</v>
      </c>
    </row>
    <row r="1072" spans="1:6">
      <c r="A1072" s="52">
        <v>30758</v>
      </c>
      <c r="B1072" s="53" t="s">
        <v>508</v>
      </c>
      <c r="C1072" s="53" t="s">
        <v>506</v>
      </c>
      <c r="D1072" s="53" t="s">
        <v>505</v>
      </c>
      <c r="E1072" s="53" t="s">
        <v>494</v>
      </c>
      <c r="F1072" s="53">
        <v>0.57999999999999996</v>
      </c>
    </row>
    <row r="1073" spans="1:6">
      <c r="A1073" s="52">
        <v>30758</v>
      </c>
      <c r="B1073" s="53" t="s">
        <v>509</v>
      </c>
      <c r="C1073" s="53" t="s">
        <v>506</v>
      </c>
      <c r="D1073" s="53" t="s">
        <v>505</v>
      </c>
      <c r="E1073" s="53" t="s">
        <v>494</v>
      </c>
      <c r="F1073" s="53">
        <v>0.57999999999999996</v>
      </c>
    </row>
    <row r="1074" spans="1:6">
      <c r="A1074" s="52">
        <v>30758</v>
      </c>
      <c r="B1074" s="53" t="s">
        <v>510</v>
      </c>
      <c r="C1074" s="53" t="s">
        <v>503</v>
      </c>
      <c r="D1074" s="53" t="s">
        <v>504</v>
      </c>
      <c r="E1074" s="53" t="s">
        <v>494</v>
      </c>
      <c r="F1074" s="53">
        <v>0.57999999999999996</v>
      </c>
    </row>
    <row r="1075" spans="1:6">
      <c r="A1075" s="52">
        <v>30758</v>
      </c>
      <c r="B1075" s="53" t="s">
        <v>510</v>
      </c>
      <c r="C1075" s="53" t="s">
        <v>503</v>
      </c>
      <c r="D1075" s="53" t="s">
        <v>505</v>
      </c>
      <c r="E1075" s="53" t="s">
        <v>494</v>
      </c>
      <c r="F1075" s="53">
        <v>0.57999999999999996</v>
      </c>
    </row>
    <row r="1076" spans="1:6">
      <c r="A1076" s="52">
        <v>30758</v>
      </c>
      <c r="B1076" s="53" t="s">
        <v>510</v>
      </c>
      <c r="C1076" s="53" t="s">
        <v>506</v>
      </c>
      <c r="D1076" s="53" t="s">
        <v>504</v>
      </c>
      <c r="E1076" s="53" t="s">
        <v>494</v>
      </c>
      <c r="F1076" s="53">
        <v>0.57999999999999996</v>
      </c>
    </row>
    <row r="1077" spans="1:6">
      <c r="A1077" s="52">
        <v>30758</v>
      </c>
      <c r="B1077" s="53" t="s">
        <v>510</v>
      </c>
      <c r="C1077" s="53" t="s">
        <v>506</v>
      </c>
      <c r="D1077" s="53" t="s">
        <v>505</v>
      </c>
      <c r="E1077" s="53" t="s">
        <v>494</v>
      </c>
      <c r="F1077" s="53">
        <v>0.57999999999999996</v>
      </c>
    </row>
    <row r="1078" spans="1:6">
      <c r="A1078" s="52">
        <v>30758</v>
      </c>
      <c r="B1078" s="53" t="s">
        <v>511</v>
      </c>
      <c r="C1078" s="53" t="s">
        <v>503</v>
      </c>
      <c r="D1078" s="53" t="s">
        <v>504</v>
      </c>
      <c r="E1078" s="53" t="s">
        <v>494</v>
      </c>
      <c r="F1078" s="53">
        <v>0.57999999999999996</v>
      </c>
    </row>
    <row r="1079" spans="1:6">
      <c r="A1079" s="52">
        <v>30758</v>
      </c>
      <c r="B1079" s="53" t="s">
        <v>511</v>
      </c>
      <c r="C1079" s="53" t="s">
        <v>503</v>
      </c>
      <c r="D1079" s="53" t="s">
        <v>505</v>
      </c>
      <c r="E1079" s="53" t="s">
        <v>494</v>
      </c>
      <c r="F1079" s="53">
        <v>0.57999999999999996</v>
      </c>
    </row>
    <row r="1080" spans="1:6">
      <c r="A1080" s="52">
        <v>30758</v>
      </c>
      <c r="B1080" s="53" t="s">
        <v>511</v>
      </c>
      <c r="C1080" s="53" t="s">
        <v>506</v>
      </c>
      <c r="D1080" s="53" t="s">
        <v>504</v>
      </c>
      <c r="E1080" s="53" t="s">
        <v>494</v>
      </c>
      <c r="F1080" s="53">
        <v>0.57999999999999996</v>
      </c>
    </row>
    <row r="1081" spans="1:6">
      <c r="A1081" s="52">
        <v>30758</v>
      </c>
      <c r="B1081" s="53" t="s">
        <v>511</v>
      </c>
      <c r="C1081" s="53" t="s">
        <v>506</v>
      </c>
      <c r="D1081" s="53" t="s">
        <v>505</v>
      </c>
      <c r="E1081" s="53" t="s">
        <v>494</v>
      </c>
      <c r="F1081" s="53">
        <v>0.57999999999999996</v>
      </c>
    </row>
    <row r="1082" spans="1:6">
      <c r="A1082" s="52">
        <v>30758</v>
      </c>
      <c r="B1082" s="53" t="s">
        <v>502</v>
      </c>
      <c r="C1082" s="53" t="s">
        <v>503</v>
      </c>
      <c r="D1082" s="53" t="s">
        <v>504</v>
      </c>
      <c r="E1082" s="53" t="s">
        <v>493</v>
      </c>
      <c r="F1082" s="53">
        <v>0.57999999999999996</v>
      </c>
    </row>
    <row r="1083" spans="1:6">
      <c r="A1083" s="52">
        <v>30758</v>
      </c>
      <c r="B1083" s="53" t="s">
        <v>502</v>
      </c>
      <c r="C1083" s="53" t="s">
        <v>506</v>
      </c>
      <c r="D1083" s="53" t="s">
        <v>504</v>
      </c>
      <c r="E1083" s="53" t="s">
        <v>493</v>
      </c>
      <c r="F1083" s="53">
        <v>0.57999999999999996</v>
      </c>
    </row>
    <row r="1084" spans="1:6">
      <c r="A1084" s="52">
        <v>30758</v>
      </c>
      <c r="B1084" s="53" t="s">
        <v>502</v>
      </c>
      <c r="C1084" s="53" t="s">
        <v>503</v>
      </c>
      <c r="D1084" s="53" t="s">
        <v>505</v>
      </c>
      <c r="E1084" s="53" t="s">
        <v>493</v>
      </c>
      <c r="F1084" s="53">
        <v>0.57999999999999996</v>
      </c>
    </row>
    <row r="1085" spans="1:6">
      <c r="A1085" s="52">
        <v>30758</v>
      </c>
      <c r="B1085" s="53" t="s">
        <v>502</v>
      </c>
      <c r="C1085" s="53" t="s">
        <v>506</v>
      </c>
      <c r="D1085" s="53" t="s">
        <v>505</v>
      </c>
      <c r="E1085" s="53" t="s">
        <v>493</v>
      </c>
      <c r="F1085" s="53">
        <v>0.57999999999999996</v>
      </c>
    </row>
    <row r="1086" spans="1:6">
      <c r="A1086" s="52">
        <v>30758</v>
      </c>
      <c r="B1086" s="53" t="s">
        <v>507</v>
      </c>
      <c r="C1086" s="53" t="s">
        <v>503</v>
      </c>
      <c r="D1086" s="53" t="s">
        <v>504</v>
      </c>
      <c r="E1086" s="53" t="s">
        <v>493</v>
      </c>
      <c r="F1086" s="53">
        <v>0.57999999999999996</v>
      </c>
    </row>
    <row r="1087" spans="1:6">
      <c r="A1087" s="52">
        <v>30758</v>
      </c>
      <c r="B1087" s="53" t="s">
        <v>507</v>
      </c>
      <c r="C1087" s="53" t="s">
        <v>506</v>
      </c>
      <c r="D1087" s="53" t="s">
        <v>504</v>
      </c>
      <c r="E1087" s="53" t="s">
        <v>493</v>
      </c>
      <c r="F1087" s="53">
        <v>0.57999999999999996</v>
      </c>
    </row>
    <row r="1088" spans="1:6">
      <c r="A1088" s="52">
        <v>30758</v>
      </c>
      <c r="B1088" s="53" t="s">
        <v>507</v>
      </c>
      <c r="C1088" s="53" t="s">
        <v>503</v>
      </c>
      <c r="D1088" s="53" t="s">
        <v>505</v>
      </c>
      <c r="E1088" s="53" t="s">
        <v>493</v>
      </c>
      <c r="F1088" s="53">
        <v>0.57999999999999996</v>
      </c>
    </row>
    <row r="1089" spans="1:6">
      <c r="A1089" s="52">
        <v>30758</v>
      </c>
      <c r="B1089" s="53" t="s">
        <v>507</v>
      </c>
      <c r="C1089" s="53" t="s">
        <v>506</v>
      </c>
      <c r="D1089" s="53" t="s">
        <v>505</v>
      </c>
      <c r="E1089" s="53" t="s">
        <v>493</v>
      </c>
      <c r="F1089" s="53">
        <v>0.57999999999999996</v>
      </c>
    </row>
    <row r="1090" spans="1:6">
      <c r="A1090" s="52">
        <v>30758</v>
      </c>
      <c r="B1090" s="53" t="s">
        <v>508</v>
      </c>
      <c r="C1090" s="53" t="s">
        <v>503</v>
      </c>
      <c r="D1090" s="53" t="s">
        <v>504</v>
      </c>
      <c r="E1090" s="53" t="s">
        <v>493</v>
      </c>
      <c r="F1090" s="53">
        <v>0.57999999999999996</v>
      </c>
    </row>
    <row r="1091" spans="1:6">
      <c r="A1091" s="52">
        <v>30758</v>
      </c>
      <c r="B1091" s="53" t="s">
        <v>509</v>
      </c>
      <c r="C1091" s="53" t="s">
        <v>503</v>
      </c>
      <c r="D1091" s="53" t="s">
        <v>504</v>
      </c>
      <c r="E1091" s="53" t="s">
        <v>493</v>
      </c>
      <c r="F1091" s="53">
        <v>0.57999999999999996</v>
      </c>
    </row>
    <row r="1092" spans="1:6">
      <c r="A1092" s="52">
        <v>30758</v>
      </c>
      <c r="B1092" s="53" t="s">
        <v>508</v>
      </c>
      <c r="C1092" s="53" t="s">
        <v>506</v>
      </c>
      <c r="D1092" s="53" t="s">
        <v>504</v>
      </c>
      <c r="E1092" s="53" t="s">
        <v>493</v>
      </c>
      <c r="F1092" s="53">
        <v>0.57999999999999996</v>
      </c>
    </row>
    <row r="1093" spans="1:6">
      <c r="A1093" s="52">
        <v>30758</v>
      </c>
      <c r="B1093" s="53" t="s">
        <v>509</v>
      </c>
      <c r="C1093" s="53" t="s">
        <v>506</v>
      </c>
      <c r="D1093" s="53" t="s">
        <v>504</v>
      </c>
      <c r="E1093" s="53" t="s">
        <v>493</v>
      </c>
      <c r="F1093" s="53">
        <v>0.57999999999999996</v>
      </c>
    </row>
    <row r="1094" spans="1:6">
      <c r="A1094" s="52">
        <v>30758</v>
      </c>
      <c r="B1094" s="53" t="s">
        <v>508</v>
      </c>
      <c r="C1094" s="53" t="s">
        <v>503</v>
      </c>
      <c r="D1094" s="53" t="s">
        <v>505</v>
      </c>
      <c r="E1094" s="53" t="s">
        <v>493</v>
      </c>
      <c r="F1094" s="53">
        <v>0.57999999999999996</v>
      </c>
    </row>
    <row r="1095" spans="1:6">
      <c r="A1095" s="52">
        <v>30758</v>
      </c>
      <c r="B1095" s="53" t="s">
        <v>509</v>
      </c>
      <c r="C1095" s="53" t="s">
        <v>503</v>
      </c>
      <c r="D1095" s="53" t="s">
        <v>505</v>
      </c>
      <c r="E1095" s="53" t="s">
        <v>493</v>
      </c>
      <c r="F1095" s="53">
        <v>0.57999999999999996</v>
      </c>
    </row>
    <row r="1096" spans="1:6">
      <c r="A1096" s="52">
        <v>30758</v>
      </c>
      <c r="B1096" s="53" t="s">
        <v>508</v>
      </c>
      <c r="C1096" s="53" t="s">
        <v>506</v>
      </c>
      <c r="D1096" s="53" t="s">
        <v>505</v>
      </c>
      <c r="E1096" s="53" t="s">
        <v>493</v>
      </c>
      <c r="F1096" s="53">
        <v>0.57999999999999996</v>
      </c>
    </row>
    <row r="1097" spans="1:6">
      <c r="A1097" s="52">
        <v>30758</v>
      </c>
      <c r="B1097" s="53" t="s">
        <v>509</v>
      </c>
      <c r="C1097" s="53" t="s">
        <v>506</v>
      </c>
      <c r="D1097" s="53" t="s">
        <v>505</v>
      </c>
      <c r="E1097" s="53" t="s">
        <v>493</v>
      </c>
      <c r="F1097" s="53">
        <v>0.57999999999999996</v>
      </c>
    </row>
    <row r="1098" spans="1:6">
      <c r="A1098" s="52">
        <v>30758</v>
      </c>
      <c r="B1098" s="53" t="s">
        <v>510</v>
      </c>
      <c r="C1098" s="53" t="s">
        <v>503</v>
      </c>
      <c r="D1098" s="53" t="s">
        <v>504</v>
      </c>
      <c r="E1098" s="53" t="s">
        <v>493</v>
      </c>
      <c r="F1098" s="53">
        <v>0.57999999999999996</v>
      </c>
    </row>
    <row r="1099" spans="1:6">
      <c r="A1099" s="52">
        <v>30758</v>
      </c>
      <c r="B1099" s="53" t="s">
        <v>510</v>
      </c>
      <c r="C1099" s="53" t="s">
        <v>503</v>
      </c>
      <c r="D1099" s="53" t="s">
        <v>505</v>
      </c>
      <c r="E1099" s="53" t="s">
        <v>493</v>
      </c>
      <c r="F1099" s="53">
        <v>0.57999999999999996</v>
      </c>
    </row>
    <row r="1100" spans="1:6">
      <c r="A1100" s="52">
        <v>30758</v>
      </c>
      <c r="B1100" s="53" t="s">
        <v>510</v>
      </c>
      <c r="C1100" s="53" t="s">
        <v>506</v>
      </c>
      <c r="D1100" s="53" t="s">
        <v>504</v>
      </c>
      <c r="E1100" s="53" t="s">
        <v>493</v>
      </c>
      <c r="F1100" s="53">
        <v>0.57999999999999996</v>
      </c>
    </row>
    <row r="1101" spans="1:6">
      <c r="A1101" s="52">
        <v>30758</v>
      </c>
      <c r="B1101" s="53" t="s">
        <v>510</v>
      </c>
      <c r="C1101" s="53" t="s">
        <v>506</v>
      </c>
      <c r="D1101" s="53" t="s">
        <v>505</v>
      </c>
      <c r="E1101" s="53" t="s">
        <v>493</v>
      </c>
      <c r="F1101" s="53">
        <v>0.57999999999999996</v>
      </c>
    </row>
    <row r="1102" spans="1:6">
      <c r="A1102" s="52">
        <v>30758</v>
      </c>
      <c r="B1102" s="53" t="s">
        <v>511</v>
      </c>
      <c r="C1102" s="53" t="s">
        <v>503</v>
      </c>
      <c r="D1102" s="53" t="s">
        <v>504</v>
      </c>
      <c r="E1102" s="53" t="s">
        <v>493</v>
      </c>
      <c r="F1102" s="53">
        <v>0.57999999999999996</v>
      </c>
    </row>
    <row r="1103" spans="1:6">
      <c r="A1103" s="52">
        <v>30758</v>
      </c>
      <c r="B1103" s="53" t="s">
        <v>511</v>
      </c>
      <c r="C1103" s="53" t="s">
        <v>503</v>
      </c>
      <c r="D1103" s="53" t="s">
        <v>505</v>
      </c>
      <c r="E1103" s="53" t="s">
        <v>493</v>
      </c>
      <c r="F1103" s="53">
        <v>0.57999999999999996</v>
      </c>
    </row>
    <row r="1104" spans="1:6">
      <c r="A1104" s="52">
        <v>30758</v>
      </c>
      <c r="B1104" s="53" t="s">
        <v>511</v>
      </c>
      <c r="C1104" s="53" t="s">
        <v>506</v>
      </c>
      <c r="D1104" s="53" t="s">
        <v>504</v>
      </c>
      <c r="E1104" s="53" t="s">
        <v>493</v>
      </c>
      <c r="F1104" s="53">
        <v>0.57999999999999996</v>
      </c>
    </row>
    <row r="1105" spans="1:6">
      <c r="A1105" s="52">
        <v>30758</v>
      </c>
      <c r="B1105" s="53" t="s">
        <v>511</v>
      </c>
      <c r="C1105" s="53" t="s">
        <v>506</v>
      </c>
      <c r="D1105" s="53" t="s">
        <v>505</v>
      </c>
      <c r="E1105" s="53" t="s">
        <v>493</v>
      </c>
      <c r="F1105" s="53">
        <v>0.57999999999999996</v>
      </c>
    </row>
    <row r="1106" spans="1:6">
      <c r="A1106" s="52">
        <v>30758</v>
      </c>
      <c r="B1106" s="53" t="s">
        <v>502</v>
      </c>
      <c r="C1106" s="53" t="s">
        <v>503</v>
      </c>
      <c r="D1106" s="53" t="s">
        <v>504</v>
      </c>
      <c r="E1106" s="53" t="s">
        <v>495</v>
      </c>
      <c r="F1106" s="53">
        <v>0.57999999999999996</v>
      </c>
    </row>
    <row r="1107" spans="1:6">
      <c r="A1107" s="52">
        <v>30758</v>
      </c>
      <c r="B1107" s="53" t="s">
        <v>502</v>
      </c>
      <c r="C1107" s="53" t="s">
        <v>506</v>
      </c>
      <c r="D1107" s="53" t="s">
        <v>504</v>
      </c>
      <c r="E1107" s="53" t="s">
        <v>495</v>
      </c>
      <c r="F1107" s="53">
        <v>0.57999999999999996</v>
      </c>
    </row>
    <row r="1108" spans="1:6">
      <c r="A1108" s="52">
        <v>30758</v>
      </c>
      <c r="B1108" s="53" t="s">
        <v>502</v>
      </c>
      <c r="C1108" s="53" t="s">
        <v>503</v>
      </c>
      <c r="D1108" s="53" t="s">
        <v>505</v>
      </c>
      <c r="E1108" s="53" t="s">
        <v>495</v>
      </c>
      <c r="F1108" s="53">
        <v>0.57999999999999996</v>
      </c>
    </row>
    <row r="1109" spans="1:6">
      <c r="A1109" s="52">
        <v>30758</v>
      </c>
      <c r="B1109" s="53" t="s">
        <v>502</v>
      </c>
      <c r="C1109" s="53" t="s">
        <v>506</v>
      </c>
      <c r="D1109" s="53" t="s">
        <v>505</v>
      </c>
      <c r="E1109" s="53" t="s">
        <v>495</v>
      </c>
      <c r="F1109" s="53">
        <v>0.57999999999999996</v>
      </c>
    </row>
    <row r="1110" spans="1:6">
      <c r="A1110" s="52">
        <v>30758</v>
      </c>
      <c r="B1110" s="53" t="s">
        <v>507</v>
      </c>
      <c r="C1110" s="53" t="s">
        <v>503</v>
      </c>
      <c r="D1110" s="53" t="s">
        <v>504</v>
      </c>
      <c r="E1110" s="53" t="s">
        <v>495</v>
      </c>
      <c r="F1110" s="53">
        <v>0.57999999999999996</v>
      </c>
    </row>
    <row r="1111" spans="1:6">
      <c r="A1111" s="52">
        <v>30758</v>
      </c>
      <c r="B1111" s="53" t="s">
        <v>507</v>
      </c>
      <c r="C1111" s="53" t="s">
        <v>506</v>
      </c>
      <c r="D1111" s="53" t="s">
        <v>504</v>
      </c>
      <c r="E1111" s="53" t="s">
        <v>495</v>
      </c>
      <c r="F1111" s="53">
        <v>0.57999999999999996</v>
      </c>
    </row>
    <row r="1112" spans="1:6">
      <c r="A1112" s="52">
        <v>30758</v>
      </c>
      <c r="B1112" s="53" t="s">
        <v>507</v>
      </c>
      <c r="C1112" s="53" t="s">
        <v>503</v>
      </c>
      <c r="D1112" s="53" t="s">
        <v>505</v>
      </c>
      <c r="E1112" s="53" t="s">
        <v>495</v>
      </c>
      <c r="F1112" s="53">
        <v>0.57999999999999996</v>
      </c>
    </row>
    <row r="1113" spans="1:6">
      <c r="A1113" s="52">
        <v>30758</v>
      </c>
      <c r="B1113" s="53" t="s">
        <v>507</v>
      </c>
      <c r="C1113" s="53" t="s">
        <v>506</v>
      </c>
      <c r="D1113" s="53" t="s">
        <v>505</v>
      </c>
      <c r="E1113" s="53" t="s">
        <v>495</v>
      </c>
      <c r="F1113" s="53">
        <v>0.57999999999999996</v>
      </c>
    </row>
    <row r="1114" spans="1:6">
      <c r="A1114" s="52">
        <v>30758</v>
      </c>
      <c r="B1114" s="53" t="s">
        <v>508</v>
      </c>
      <c r="C1114" s="53" t="s">
        <v>503</v>
      </c>
      <c r="D1114" s="53" t="s">
        <v>504</v>
      </c>
      <c r="E1114" s="53" t="s">
        <v>495</v>
      </c>
      <c r="F1114" s="53">
        <v>0.57999999999999996</v>
      </c>
    </row>
    <row r="1115" spans="1:6">
      <c r="A1115" s="52">
        <v>30758</v>
      </c>
      <c r="B1115" s="53" t="s">
        <v>509</v>
      </c>
      <c r="C1115" s="53" t="s">
        <v>503</v>
      </c>
      <c r="D1115" s="53" t="s">
        <v>504</v>
      </c>
      <c r="E1115" s="53" t="s">
        <v>495</v>
      </c>
      <c r="F1115" s="53">
        <v>0.57999999999999996</v>
      </c>
    </row>
    <row r="1116" spans="1:6">
      <c r="A1116" s="52">
        <v>30758</v>
      </c>
      <c r="B1116" s="53" t="s">
        <v>508</v>
      </c>
      <c r="C1116" s="53" t="s">
        <v>506</v>
      </c>
      <c r="D1116" s="53" t="s">
        <v>504</v>
      </c>
      <c r="E1116" s="53" t="s">
        <v>495</v>
      </c>
      <c r="F1116" s="53">
        <v>0.57999999999999996</v>
      </c>
    </row>
    <row r="1117" spans="1:6">
      <c r="A1117" s="52">
        <v>30758</v>
      </c>
      <c r="B1117" s="53" t="s">
        <v>509</v>
      </c>
      <c r="C1117" s="53" t="s">
        <v>506</v>
      </c>
      <c r="D1117" s="53" t="s">
        <v>504</v>
      </c>
      <c r="E1117" s="53" t="s">
        <v>495</v>
      </c>
      <c r="F1117" s="53">
        <v>0.57999999999999996</v>
      </c>
    </row>
    <row r="1118" spans="1:6">
      <c r="A1118" s="52">
        <v>30758</v>
      </c>
      <c r="B1118" s="53" t="s">
        <v>508</v>
      </c>
      <c r="C1118" s="53" t="s">
        <v>503</v>
      </c>
      <c r="D1118" s="53" t="s">
        <v>505</v>
      </c>
      <c r="E1118" s="53" t="s">
        <v>495</v>
      </c>
      <c r="F1118" s="53">
        <v>0.57999999999999996</v>
      </c>
    </row>
    <row r="1119" spans="1:6">
      <c r="A1119" s="52">
        <v>30758</v>
      </c>
      <c r="B1119" s="53" t="s">
        <v>509</v>
      </c>
      <c r="C1119" s="53" t="s">
        <v>503</v>
      </c>
      <c r="D1119" s="53" t="s">
        <v>505</v>
      </c>
      <c r="E1119" s="53" t="s">
        <v>495</v>
      </c>
      <c r="F1119" s="53">
        <v>0.57999999999999996</v>
      </c>
    </row>
    <row r="1120" spans="1:6">
      <c r="A1120" s="52">
        <v>30758</v>
      </c>
      <c r="B1120" s="53" t="s">
        <v>508</v>
      </c>
      <c r="C1120" s="53" t="s">
        <v>506</v>
      </c>
      <c r="D1120" s="53" t="s">
        <v>505</v>
      </c>
      <c r="E1120" s="53" t="s">
        <v>495</v>
      </c>
      <c r="F1120" s="53">
        <v>0.57999999999999996</v>
      </c>
    </row>
    <row r="1121" spans="1:6">
      <c r="A1121" s="52">
        <v>30758</v>
      </c>
      <c r="B1121" s="53" t="s">
        <v>509</v>
      </c>
      <c r="C1121" s="53" t="s">
        <v>506</v>
      </c>
      <c r="D1121" s="53" t="s">
        <v>505</v>
      </c>
      <c r="E1121" s="53" t="s">
        <v>495</v>
      </c>
      <c r="F1121" s="53">
        <v>0.57999999999999996</v>
      </c>
    </row>
    <row r="1122" spans="1:6">
      <c r="A1122" s="52">
        <v>30758</v>
      </c>
      <c r="B1122" s="53" t="s">
        <v>510</v>
      </c>
      <c r="C1122" s="53" t="s">
        <v>503</v>
      </c>
      <c r="D1122" s="53" t="s">
        <v>504</v>
      </c>
      <c r="E1122" s="53" t="s">
        <v>495</v>
      </c>
      <c r="F1122" s="53">
        <v>0.57999999999999996</v>
      </c>
    </row>
    <row r="1123" spans="1:6">
      <c r="A1123" s="52">
        <v>30758</v>
      </c>
      <c r="B1123" s="53" t="s">
        <v>510</v>
      </c>
      <c r="C1123" s="53" t="s">
        <v>503</v>
      </c>
      <c r="D1123" s="53" t="s">
        <v>505</v>
      </c>
      <c r="E1123" s="53" t="s">
        <v>495</v>
      </c>
      <c r="F1123" s="53">
        <v>0.57999999999999996</v>
      </c>
    </row>
    <row r="1124" spans="1:6">
      <c r="A1124" s="52">
        <v>30758</v>
      </c>
      <c r="B1124" s="53" t="s">
        <v>510</v>
      </c>
      <c r="C1124" s="53" t="s">
        <v>506</v>
      </c>
      <c r="D1124" s="53" t="s">
        <v>504</v>
      </c>
      <c r="E1124" s="53" t="s">
        <v>495</v>
      </c>
      <c r="F1124" s="53">
        <v>0.57999999999999996</v>
      </c>
    </row>
    <row r="1125" spans="1:6">
      <c r="A1125" s="52">
        <v>30758</v>
      </c>
      <c r="B1125" s="53" t="s">
        <v>510</v>
      </c>
      <c r="C1125" s="53" t="s">
        <v>506</v>
      </c>
      <c r="D1125" s="53" t="s">
        <v>505</v>
      </c>
      <c r="E1125" s="53" t="s">
        <v>495</v>
      </c>
      <c r="F1125" s="53">
        <v>0.57999999999999996</v>
      </c>
    </row>
    <row r="1126" spans="1:6">
      <c r="A1126" s="52">
        <v>30758</v>
      </c>
      <c r="B1126" s="53" t="s">
        <v>511</v>
      </c>
      <c r="C1126" s="53" t="s">
        <v>503</v>
      </c>
      <c r="D1126" s="53" t="s">
        <v>504</v>
      </c>
      <c r="E1126" s="53" t="s">
        <v>495</v>
      </c>
      <c r="F1126" s="53">
        <v>0.57999999999999996</v>
      </c>
    </row>
    <row r="1127" spans="1:6">
      <c r="A1127" s="52">
        <v>30758</v>
      </c>
      <c r="B1127" s="53" t="s">
        <v>511</v>
      </c>
      <c r="C1127" s="53" t="s">
        <v>503</v>
      </c>
      <c r="D1127" s="53" t="s">
        <v>505</v>
      </c>
      <c r="E1127" s="53" t="s">
        <v>495</v>
      </c>
      <c r="F1127" s="53">
        <v>0.57999999999999996</v>
      </c>
    </row>
    <row r="1128" spans="1:6">
      <c r="A1128" s="52">
        <v>30758</v>
      </c>
      <c r="B1128" s="53" t="s">
        <v>511</v>
      </c>
      <c r="C1128" s="53" t="s">
        <v>506</v>
      </c>
      <c r="D1128" s="53" t="s">
        <v>504</v>
      </c>
      <c r="E1128" s="53" t="s">
        <v>495</v>
      </c>
      <c r="F1128" s="53">
        <v>0.57999999999999996</v>
      </c>
    </row>
    <row r="1129" spans="1:6">
      <c r="A1129" s="52">
        <v>30758</v>
      </c>
      <c r="B1129" s="53" t="s">
        <v>511</v>
      </c>
      <c r="C1129" s="53" t="s">
        <v>506</v>
      </c>
      <c r="D1129" s="53" t="s">
        <v>505</v>
      </c>
      <c r="E1129" s="53" t="s">
        <v>495</v>
      </c>
      <c r="F1129" s="53">
        <v>0.57999999999999996</v>
      </c>
    </row>
    <row r="1130" spans="1:6">
      <c r="A1130" s="52">
        <v>30758</v>
      </c>
      <c r="B1130" s="53" t="s">
        <v>502</v>
      </c>
      <c r="C1130" s="53" t="s">
        <v>503</v>
      </c>
      <c r="D1130" s="53" t="s">
        <v>504</v>
      </c>
      <c r="E1130" s="53" t="s">
        <v>496</v>
      </c>
      <c r="F1130" s="53">
        <v>1.1599999999999999</v>
      </c>
    </row>
    <row r="1131" spans="1:6">
      <c r="A1131" s="52">
        <v>30758</v>
      </c>
      <c r="B1131" s="53" t="s">
        <v>502</v>
      </c>
      <c r="C1131" s="53" t="s">
        <v>506</v>
      </c>
      <c r="D1131" s="53" t="s">
        <v>504</v>
      </c>
      <c r="E1131" s="53" t="s">
        <v>496</v>
      </c>
      <c r="F1131" s="53">
        <v>1.1599999999999999</v>
      </c>
    </row>
    <row r="1132" spans="1:6">
      <c r="A1132" s="52">
        <v>30758</v>
      </c>
      <c r="B1132" s="53" t="s">
        <v>502</v>
      </c>
      <c r="C1132" s="53" t="s">
        <v>503</v>
      </c>
      <c r="D1132" s="53" t="s">
        <v>505</v>
      </c>
      <c r="E1132" s="53" t="s">
        <v>496</v>
      </c>
      <c r="F1132" s="53">
        <v>1.1599999999999999</v>
      </c>
    </row>
    <row r="1133" spans="1:6">
      <c r="A1133" s="52">
        <v>30758</v>
      </c>
      <c r="B1133" s="53" t="s">
        <v>502</v>
      </c>
      <c r="C1133" s="53" t="s">
        <v>506</v>
      </c>
      <c r="D1133" s="53" t="s">
        <v>505</v>
      </c>
      <c r="E1133" s="53" t="s">
        <v>496</v>
      </c>
      <c r="F1133" s="53">
        <v>1.1599999999999999</v>
      </c>
    </row>
    <row r="1134" spans="1:6">
      <c r="A1134" s="52">
        <v>30758</v>
      </c>
      <c r="B1134" s="53" t="s">
        <v>507</v>
      </c>
      <c r="C1134" s="53" t="s">
        <v>503</v>
      </c>
      <c r="D1134" s="53" t="s">
        <v>504</v>
      </c>
      <c r="E1134" s="53" t="s">
        <v>496</v>
      </c>
      <c r="F1134" s="53">
        <v>1.1599999999999999</v>
      </c>
    </row>
    <row r="1135" spans="1:6">
      <c r="A1135" s="52">
        <v>30758</v>
      </c>
      <c r="B1135" s="53" t="s">
        <v>507</v>
      </c>
      <c r="C1135" s="53" t="s">
        <v>506</v>
      </c>
      <c r="D1135" s="53" t="s">
        <v>504</v>
      </c>
      <c r="E1135" s="53" t="s">
        <v>496</v>
      </c>
      <c r="F1135" s="53">
        <v>1.1599999999999999</v>
      </c>
    </row>
    <row r="1136" spans="1:6">
      <c r="A1136" s="52">
        <v>30758</v>
      </c>
      <c r="B1136" s="53" t="s">
        <v>507</v>
      </c>
      <c r="C1136" s="53" t="s">
        <v>503</v>
      </c>
      <c r="D1136" s="53" t="s">
        <v>505</v>
      </c>
      <c r="E1136" s="53" t="s">
        <v>496</v>
      </c>
      <c r="F1136" s="53">
        <v>1.1599999999999999</v>
      </c>
    </row>
    <row r="1137" spans="1:6">
      <c r="A1137" s="52">
        <v>30758</v>
      </c>
      <c r="B1137" s="53" t="s">
        <v>507</v>
      </c>
      <c r="C1137" s="53" t="s">
        <v>506</v>
      </c>
      <c r="D1137" s="53" t="s">
        <v>505</v>
      </c>
      <c r="E1137" s="53" t="s">
        <v>496</v>
      </c>
      <c r="F1137" s="53">
        <v>1.1599999999999999</v>
      </c>
    </row>
    <row r="1138" spans="1:6">
      <c r="A1138" s="52">
        <v>30758</v>
      </c>
      <c r="B1138" s="53" t="s">
        <v>508</v>
      </c>
      <c r="C1138" s="53" t="s">
        <v>503</v>
      </c>
      <c r="D1138" s="53" t="s">
        <v>504</v>
      </c>
      <c r="E1138" s="53" t="s">
        <v>496</v>
      </c>
      <c r="F1138" s="53">
        <v>1.1599999999999999</v>
      </c>
    </row>
    <row r="1139" spans="1:6">
      <c r="A1139" s="52">
        <v>30758</v>
      </c>
      <c r="B1139" s="53" t="s">
        <v>509</v>
      </c>
      <c r="C1139" s="53" t="s">
        <v>503</v>
      </c>
      <c r="D1139" s="53" t="s">
        <v>504</v>
      </c>
      <c r="E1139" s="53" t="s">
        <v>496</v>
      </c>
      <c r="F1139" s="53">
        <v>1.1599999999999999</v>
      </c>
    </row>
    <row r="1140" spans="1:6">
      <c r="A1140" s="52">
        <v>30758</v>
      </c>
      <c r="B1140" s="53" t="s">
        <v>508</v>
      </c>
      <c r="C1140" s="53" t="s">
        <v>506</v>
      </c>
      <c r="D1140" s="53" t="s">
        <v>504</v>
      </c>
      <c r="E1140" s="53" t="s">
        <v>496</v>
      </c>
      <c r="F1140" s="53">
        <v>1.1599999999999999</v>
      </c>
    </row>
    <row r="1141" spans="1:6">
      <c r="A1141" s="52">
        <v>30758</v>
      </c>
      <c r="B1141" s="53" t="s">
        <v>509</v>
      </c>
      <c r="C1141" s="53" t="s">
        <v>506</v>
      </c>
      <c r="D1141" s="53" t="s">
        <v>504</v>
      </c>
      <c r="E1141" s="53" t="s">
        <v>496</v>
      </c>
      <c r="F1141" s="53">
        <v>1.1599999999999999</v>
      </c>
    </row>
    <row r="1142" spans="1:6">
      <c r="A1142" s="52">
        <v>30758</v>
      </c>
      <c r="B1142" s="53" t="s">
        <v>508</v>
      </c>
      <c r="C1142" s="53" t="s">
        <v>503</v>
      </c>
      <c r="D1142" s="53" t="s">
        <v>505</v>
      </c>
      <c r="E1142" s="53" t="s">
        <v>496</v>
      </c>
      <c r="F1142" s="53">
        <v>1.1599999999999999</v>
      </c>
    </row>
    <row r="1143" spans="1:6">
      <c r="A1143" s="52">
        <v>30758</v>
      </c>
      <c r="B1143" s="53" t="s">
        <v>509</v>
      </c>
      <c r="C1143" s="53" t="s">
        <v>503</v>
      </c>
      <c r="D1143" s="53" t="s">
        <v>505</v>
      </c>
      <c r="E1143" s="53" t="s">
        <v>496</v>
      </c>
      <c r="F1143" s="53">
        <v>1.1599999999999999</v>
      </c>
    </row>
    <row r="1144" spans="1:6">
      <c r="A1144" s="52">
        <v>30758</v>
      </c>
      <c r="B1144" s="53" t="s">
        <v>508</v>
      </c>
      <c r="C1144" s="53" t="s">
        <v>506</v>
      </c>
      <c r="D1144" s="53" t="s">
        <v>505</v>
      </c>
      <c r="E1144" s="53" t="s">
        <v>496</v>
      </c>
      <c r="F1144" s="53">
        <v>1.1599999999999999</v>
      </c>
    </row>
    <row r="1145" spans="1:6">
      <c r="A1145" s="52">
        <v>30758</v>
      </c>
      <c r="B1145" s="53" t="s">
        <v>509</v>
      </c>
      <c r="C1145" s="53" t="s">
        <v>506</v>
      </c>
      <c r="D1145" s="53" t="s">
        <v>505</v>
      </c>
      <c r="E1145" s="53" t="s">
        <v>496</v>
      </c>
      <c r="F1145" s="53">
        <v>1.1599999999999999</v>
      </c>
    </row>
    <row r="1146" spans="1:6">
      <c r="A1146" s="52">
        <v>30758</v>
      </c>
      <c r="B1146" s="53" t="s">
        <v>510</v>
      </c>
      <c r="C1146" s="53" t="s">
        <v>503</v>
      </c>
      <c r="D1146" s="53" t="s">
        <v>504</v>
      </c>
      <c r="E1146" s="53" t="s">
        <v>496</v>
      </c>
      <c r="F1146" s="53">
        <v>1.1599999999999999</v>
      </c>
    </row>
    <row r="1147" spans="1:6">
      <c r="A1147" s="52">
        <v>30758</v>
      </c>
      <c r="B1147" s="53" t="s">
        <v>510</v>
      </c>
      <c r="C1147" s="53" t="s">
        <v>503</v>
      </c>
      <c r="D1147" s="53" t="s">
        <v>505</v>
      </c>
      <c r="E1147" s="53" t="s">
        <v>496</v>
      </c>
      <c r="F1147" s="53">
        <v>1.1599999999999999</v>
      </c>
    </row>
    <row r="1148" spans="1:6">
      <c r="A1148" s="52">
        <v>30758</v>
      </c>
      <c r="B1148" s="53" t="s">
        <v>510</v>
      </c>
      <c r="C1148" s="53" t="s">
        <v>506</v>
      </c>
      <c r="D1148" s="53" t="s">
        <v>504</v>
      </c>
      <c r="E1148" s="53" t="s">
        <v>496</v>
      </c>
      <c r="F1148" s="53">
        <v>1.1599999999999999</v>
      </c>
    </row>
    <row r="1149" spans="1:6">
      <c r="A1149" s="52">
        <v>30758</v>
      </c>
      <c r="B1149" s="53" t="s">
        <v>510</v>
      </c>
      <c r="C1149" s="53" t="s">
        <v>506</v>
      </c>
      <c r="D1149" s="53" t="s">
        <v>505</v>
      </c>
      <c r="E1149" s="53" t="s">
        <v>496</v>
      </c>
      <c r="F1149" s="53">
        <v>1.1599999999999999</v>
      </c>
    </row>
    <row r="1150" spans="1:6">
      <c r="A1150" s="52">
        <v>30758</v>
      </c>
      <c r="B1150" s="53" t="s">
        <v>511</v>
      </c>
      <c r="C1150" s="53" t="s">
        <v>503</v>
      </c>
      <c r="D1150" s="53" t="s">
        <v>504</v>
      </c>
      <c r="E1150" s="53" t="s">
        <v>496</v>
      </c>
      <c r="F1150" s="53">
        <v>1.1599999999999999</v>
      </c>
    </row>
    <row r="1151" spans="1:6">
      <c r="A1151" s="52">
        <v>30758</v>
      </c>
      <c r="B1151" s="53" t="s">
        <v>511</v>
      </c>
      <c r="C1151" s="53" t="s">
        <v>503</v>
      </c>
      <c r="D1151" s="53" t="s">
        <v>505</v>
      </c>
      <c r="E1151" s="53" t="s">
        <v>496</v>
      </c>
      <c r="F1151" s="53">
        <v>1.1599999999999999</v>
      </c>
    </row>
    <row r="1152" spans="1:6">
      <c r="A1152" s="52">
        <v>30758</v>
      </c>
      <c r="B1152" s="53" t="s">
        <v>511</v>
      </c>
      <c r="C1152" s="53" t="s">
        <v>506</v>
      </c>
      <c r="D1152" s="53" t="s">
        <v>504</v>
      </c>
      <c r="E1152" s="53" t="s">
        <v>496</v>
      </c>
      <c r="F1152" s="53">
        <v>1.1599999999999999</v>
      </c>
    </row>
    <row r="1153" spans="1:6">
      <c r="A1153" s="52">
        <v>30758</v>
      </c>
      <c r="B1153" s="53" t="s">
        <v>511</v>
      </c>
      <c r="C1153" s="53" t="s">
        <v>506</v>
      </c>
      <c r="D1153" s="53" t="s">
        <v>505</v>
      </c>
      <c r="E1153" s="53" t="s">
        <v>496</v>
      </c>
      <c r="F1153" s="53">
        <v>1.1599999999999999</v>
      </c>
    </row>
    <row r="1154" spans="1:6">
      <c r="A1154" s="52">
        <v>29114</v>
      </c>
      <c r="B1154" s="53" t="s">
        <v>502</v>
      </c>
      <c r="C1154" s="53" t="s">
        <v>503</v>
      </c>
      <c r="D1154" s="53" t="s">
        <v>504</v>
      </c>
      <c r="E1154" s="53" t="s">
        <v>494</v>
      </c>
      <c r="F1154" s="53">
        <v>1.04</v>
      </c>
    </row>
    <row r="1155" spans="1:6">
      <c r="A1155" s="52">
        <v>29114</v>
      </c>
      <c r="B1155" s="53" t="s">
        <v>502</v>
      </c>
      <c r="C1155" s="53" t="s">
        <v>506</v>
      </c>
      <c r="D1155" s="53" t="s">
        <v>504</v>
      </c>
      <c r="E1155" s="53" t="s">
        <v>494</v>
      </c>
      <c r="F1155" s="53">
        <v>1.04</v>
      </c>
    </row>
    <row r="1156" spans="1:6">
      <c r="A1156" s="52">
        <v>29114</v>
      </c>
      <c r="B1156" s="53" t="s">
        <v>502</v>
      </c>
      <c r="C1156" s="53" t="s">
        <v>503</v>
      </c>
      <c r="D1156" s="53" t="s">
        <v>505</v>
      </c>
      <c r="E1156" s="53" t="s">
        <v>494</v>
      </c>
      <c r="F1156" s="53">
        <v>2.09</v>
      </c>
    </row>
    <row r="1157" spans="1:6">
      <c r="A1157" s="52">
        <v>29114</v>
      </c>
      <c r="B1157" s="53" t="s">
        <v>502</v>
      </c>
      <c r="C1157" s="53" t="s">
        <v>506</v>
      </c>
      <c r="D1157" s="53" t="s">
        <v>505</v>
      </c>
      <c r="E1157" s="53" t="s">
        <v>494</v>
      </c>
      <c r="F1157" s="53">
        <v>2.09</v>
      </c>
    </row>
    <row r="1158" spans="1:6">
      <c r="A1158" s="52">
        <v>29114</v>
      </c>
      <c r="B1158" s="53" t="s">
        <v>507</v>
      </c>
      <c r="C1158" s="53" t="s">
        <v>503</v>
      </c>
      <c r="D1158" s="53" t="s">
        <v>504</v>
      </c>
      <c r="E1158" s="53" t="s">
        <v>494</v>
      </c>
      <c r="F1158" s="53">
        <v>1.04</v>
      </c>
    </row>
    <row r="1159" spans="1:6">
      <c r="A1159" s="52">
        <v>29114</v>
      </c>
      <c r="B1159" s="53" t="s">
        <v>507</v>
      </c>
      <c r="C1159" s="53" t="s">
        <v>506</v>
      </c>
      <c r="D1159" s="53" t="s">
        <v>504</v>
      </c>
      <c r="E1159" s="53" t="s">
        <v>494</v>
      </c>
      <c r="F1159" s="53">
        <v>1.04</v>
      </c>
    </row>
    <row r="1160" spans="1:6">
      <c r="A1160" s="52">
        <v>29114</v>
      </c>
      <c r="B1160" s="53" t="s">
        <v>507</v>
      </c>
      <c r="C1160" s="53" t="s">
        <v>503</v>
      </c>
      <c r="D1160" s="53" t="s">
        <v>505</v>
      </c>
      <c r="E1160" s="53" t="s">
        <v>494</v>
      </c>
      <c r="F1160" s="53">
        <v>1.04</v>
      </c>
    </row>
    <row r="1161" spans="1:6">
      <c r="A1161" s="52">
        <v>29114</v>
      </c>
      <c r="B1161" s="53" t="s">
        <v>507</v>
      </c>
      <c r="C1161" s="53" t="s">
        <v>506</v>
      </c>
      <c r="D1161" s="53" t="s">
        <v>505</v>
      </c>
      <c r="E1161" s="53" t="s">
        <v>494</v>
      </c>
      <c r="F1161" s="53">
        <v>1.04</v>
      </c>
    </row>
    <row r="1162" spans="1:6">
      <c r="A1162" s="52">
        <v>29114</v>
      </c>
      <c r="B1162" s="53" t="s">
        <v>508</v>
      </c>
      <c r="C1162" s="53" t="s">
        <v>503</v>
      </c>
      <c r="D1162" s="53" t="s">
        <v>504</v>
      </c>
      <c r="E1162" s="53" t="s">
        <v>494</v>
      </c>
      <c r="F1162" s="53">
        <v>1.74</v>
      </c>
    </row>
    <row r="1163" spans="1:6">
      <c r="A1163" s="52">
        <v>29114</v>
      </c>
      <c r="B1163" s="53" t="s">
        <v>509</v>
      </c>
      <c r="C1163" s="53" t="s">
        <v>503</v>
      </c>
      <c r="D1163" s="53" t="s">
        <v>504</v>
      </c>
      <c r="E1163" s="53" t="s">
        <v>494</v>
      </c>
      <c r="F1163" s="53">
        <v>1.74</v>
      </c>
    </row>
    <row r="1164" spans="1:6">
      <c r="A1164" s="52">
        <v>29114</v>
      </c>
      <c r="B1164" s="53" t="s">
        <v>508</v>
      </c>
      <c r="C1164" s="53" t="s">
        <v>506</v>
      </c>
      <c r="D1164" s="53" t="s">
        <v>504</v>
      </c>
      <c r="E1164" s="53" t="s">
        <v>494</v>
      </c>
      <c r="F1164" s="53">
        <v>1.74</v>
      </c>
    </row>
    <row r="1165" spans="1:6">
      <c r="A1165" s="52">
        <v>29114</v>
      </c>
      <c r="B1165" s="53" t="s">
        <v>509</v>
      </c>
      <c r="C1165" s="53" t="s">
        <v>506</v>
      </c>
      <c r="D1165" s="53" t="s">
        <v>504</v>
      </c>
      <c r="E1165" s="53" t="s">
        <v>494</v>
      </c>
      <c r="F1165" s="53">
        <v>1.74</v>
      </c>
    </row>
    <row r="1166" spans="1:6">
      <c r="A1166" s="52">
        <v>29114</v>
      </c>
      <c r="B1166" s="53" t="s">
        <v>508</v>
      </c>
      <c r="C1166" s="53" t="s">
        <v>503</v>
      </c>
      <c r="D1166" s="53" t="s">
        <v>505</v>
      </c>
      <c r="E1166" s="53" t="s">
        <v>494</v>
      </c>
      <c r="F1166" s="53">
        <v>1.74</v>
      </c>
    </row>
    <row r="1167" spans="1:6">
      <c r="A1167" s="52">
        <v>29114</v>
      </c>
      <c r="B1167" s="53" t="s">
        <v>509</v>
      </c>
      <c r="C1167" s="53" t="s">
        <v>503</v>
      </c>
      <c r="D1167" s="53" t="s">
        <v>505</v>
      </c>
      <c r="E1167" s="53" t="s">
        <v>494</v>
      </c>
      <c r="F1167" s="53">
        <v>1.74</v>
      </c>
    </row>
    <row r="1168" spans="1:6">
      <c r="A1168" s="52">
        <v>29114</v>
      </c>
      <c r="B1168" s="53" t="s">
        <v>508</v>
      </c>
      <c r="C1168" s="53" t="s">
        <v>506</v>
      </c>
      <c r="D1168" s="53" t="s">
        <v>505</v>
      </c>
      <c r="E1168" s="53" t="s">
        <v>494</v>
      </c>
      <c r="F1168" s="53">
        <v>1.74</v>
      </c>
    </row>
    <row r="1169" spans="1:6">
      <c r="A1169" s="52">
        <v>29114</v>
      </c>
      <c r="B1169" s="53" t="s">
        <v>509</v>
      </c>
      <c r="C1169" s="53" t="s">
        <v>506</v>
      </c>
      <c r="D1169" s="53" t="s">
        <v>505</v>
      </c>
      <c r="E1169" s="53" t="s">
        <v>494</v>
      </c>
      <c r="F1169" s="53">
        <v>1.74</v>
      </c>
    </row>
    <row r="1170" spans="1:6">
      <c r="A1170" s="52">
        <v>29114</v>
      </c>
      <c r="B1170" s="53" t="s">
        <v>510</v>
      </c>
      <c r="C1170" s="53" t="s">
        <v>503</v>
      </c>
      <c r="D1170" s="53" t="s">
        <v>504</v>
      </c>
      <c r="E1170" s="53" t="s">
        <v>494</v>
      </c>
      <c r="F1170" s="53">
        <v>1.74</v>
      </c>
    </row>
    <row r="1171" spans="1:6">
      <c r="A1171" s="52">
        <v>29114</v>
      </c>
      <c r="B1171" s="53" t="s">
        <v>510</v>
      </c>
      <c r="C1171" s="53" t="s">
        <v>503</v>
      </c>
      <c r="D1171" s="53" t="s">
        <v>505</v>
      </c>
      <c r="E1171" s="53" t="s">
        <v>494</v>
      </c>
      <c r="F1171" s="53">
        <v>1.74</v>
      </c>
    </row>
    <row r="1172" spans="1:6">
      <c r="A1172" s="52">
        <v>29114</v>
      </c>
      <c r="B1172" s="53" t="s">
        <v>510</v>
      </c>
      <c r="C1172" s="53" t="s">
        <v>506</v>
      </c>
      <c r="D1172" s="53" t="s">
        <v>504</v>
      </c>
      <c r="E1172" s="53" t="s">
        <v>494</v>
      </c>
      <c r="F1172" s="53">
        <v>1.74</v>
      </c>
    </row>
    <row r="1173" spans="1:6">
      <c r="A1173" s="52">
        <v>29114</v>
      </c>
      <c r="B1173" s="53" t="s">
        <v>510</v>
      </c>
      <c r="C1173" s="53" t="s">
        <v>506</v>
      </c>
      <c r="D1173" s="53" t="s">
        <v>505</v>
      </c>
      <c r="E1173" s="53" t="s">
        <v>494</v>
      </c>
      <c r="F1173" s="53">
        <v>1.74</v>
      </c>
    </row>
    <row r="1174" spans="1:6">
      <c r="A1174" s="52">
        <v>29114</v>
      </c>
      <c r="B1174" s="53" t="s">
        <v>511</v>
      </c>
      <c r="C1174" s="53" t="s">
        <v>503</v>
      </c>
      <c r="D1174" s="53" t="s">
        <v>504</v>
      </c>
      <c r="E1174" s="53" t="s">
        <v>494</v>
      </c>
      <c r="F1174" s="53">
        <v>1.74</v>
      </c>
    </row>
    <row r="1175" spans="1:6">
      <c r="A1175" s="52">
        <v>29114</v>
      </c>
      <c r="B1175" s="53" t="s">
        <v>511</v>
      </c>
      <c r="C1175" s="53" t="s">
        <v>503</v>
      </c>
      <c r="D1175" s="53" t="s">
        <v>505</v>
      </c>
      <c r="E1175" s="53" t="s">
        <v>494</v>
      </c>
      <c r="F1175" s="53">
        <v>1.74</v>
      </c>
    </row>
    <row r="1176" spans="1:6">
      <c r="A1176" s="52">
        <v>29114</v>
      </c>
      <c r="B1176" s="53" t="s">
        <v>511</v>
      </c>
      <c r="C1176" s="53" t="s">
        <v>506</v>
      </c>
      <c r="D1176" s="53" t="s">
        <v>504</v>
      </c>
      <c r="E1176" s="53" t="s">
        <v>494</v>
      </c>
      <c r="F1176" s="53">
        <v>1.74</v>
      </c>
    </row>
    <row r="1177" spans="1:6">
      <c r="A1177" s="52">
        <v>29114</v>
      </c>
      <c r="B1177" s="53" t="s">
        <v>511</v>
      </c>
      <c r="C1177" s="53" t="s">
        <v>506</v>
      </c>
      <c r="D1177" s="53" t="s">
        <v>505</v>
      </c>
      <c r="E1177" s="53" t="s">
        <v>494</v>
      </c>
      <c r="F1177" s="53">
        <v>1.74</v>
      </c>
    </row>
    <row r="1178" spans="1:6">
      <c r="A1178" s="52">
        <v>29114</v>
      </c>
      <c r="B1178" s="53" t="s">
        <v>502</v>
      </c>
      <c r="C1178" s="53" t="s">
        <v>503</v>
      </c>
      <c r="D1178" s="53" t="s">
        <v>504</v>
      </c>
      <c r="E1178" s="53" t="s">
        <v>493</v>
      </c>
      <c r="F1178" s="53">
        <v>1.04</v>
      </c>
    </row>
    <row r="1179" spans="1:6">
      <c r="A1179" s="52">
        <v>29114</v>
      </c>
      <c r="B1179" s="53" t="s">
        <v>502</v>
      </c>
      <c r="C1179" s="53" t="s">
        <v>506</v>
      </c>
      <c r="D1179" s="53" t="s">
        <v>504</v>
      </c>
      <c r="E1179" s="53" t="s">
        <v>493</v>
      </c>
      <c r="F1179" s="53">
        <v>1.04</v>
      </c>
    </row>
    <row r="1180" spans="1:6">
      <c r="A1180" s="52">
        <v>29114</v>
      </c>
      <c r="B1180" s="53" t="s">
        <v>502</v>
      </c>
      <c r="C1180" s="53" t="s">
        <v>503</v>
      </c>
      <c r="D1180" s="53" t="s">
        <v>505</v>
      </c>
      <c r="E1180" s="53" t="s">
        <v>493</v>
      </c>
      <c r="F1180" s="53">
        <v>2.09</v>
      </c>
    </row>
    <row r="1181" spans="1:6">
      <c r="A1181" s="52">
        <v>29114</v>
      </c>
      <c r="B1181" s="53" t="s">
        <v>502</v>
      </c>
      <c r="C1181" s="53" t="s">
        <v>506</v>
      </c>
      <c r="D1181" s="53" t="s">
        <v>505</v>
      </c>
      <c r="E1181" s="53" t="s">
        <v>493</v>
      </c>
      <c r="F1181" s="53">
        <v>2.09</v>
      </c>
    </row>
    <row r="1182" spans="1:6">
      <c r="A1182" s="52">
        <v>29114</v>
      </c>
      <c r="B1182" s="53" t="s">
        <v>507</v>
      </c>
      <c r="C1182" s="53" t="s">
        <v>503</v>
      </c>
      <c r="D1182" s="53" t="s">
        <v>504</v>
      </c>
      <c r="E1182" s="53" t="s">
        <v>493</v>
      </c>
      <c r="F1182" s="53">
        <v>1.04</v>
      </c>
    </row>
    <row r="1183" spans="1:6">
      <c r="A1183" s="52">
        <v>29114</v>
      </c>
      <c r="B1183" s="53" t="s">
        <v>507</v>
      </c>
      <c r="C1183" s="53" t="s">
        <v>506</v>
      </c>
      <c r="D1183" s="53" t="s">
        <v>504</v>
      </c>
      <c r="E1183" s="53" t="s">
        <v>493</v>
      </c>
      <c r="F1183" s="53">
        <v>1.04</v>
      </c>
    </row>
    <row r="1184" spans="1:6">
      <c r="A1184" s="52">
        <v>29114</v>
      </c>
      <c r="B1184" s="53" t="s">
        <v>507</v>
      </c>
      <c r="C1184" s="53" t="s">
        <v>503</v>
      </c>
      <c r="D1184" s="53" t="s">
        <v>505</v>
      </c>
      <c r="E1184" s="53" t="s">
        <v>493</v>
      </c>
      <c r="F1184" s="53">
        <v>1.04</v>
      </c>
    </row>
    <row r="1185" spans="1:6">
      <c r="A1185" s="52">
        <v>29114</v>
      </c>
      <c r="B1185" s="53" t="s">
        <v>507</v>
      </c>
      <c r="C1185" s="53" t="s">
        <v>506</v>
      </c>
      <c r="D1185" s="53" t="s">
        <v>505</v>
      </c>
      <c r="E1185" s="53" t="s">
        <v>493</v>
      </c>
      <c r="F1185" s="53">
        <v>1.04</v>
      </c>
    </row>
    <row r="1186" spans="1:6">
      <c r="A1186" s="52">
        <v>29114</v>
      </c>
      <c r="B1186" s="53" t="s">
        <v>508</v>
      </c>
      <c r="C1186" s="53" t="s">
        <v>503</v>
      </c>
      <c r="D1186" s="53" t="s">
        <v>504</v>
      </c>
      <c r="E1186" s="53" t="s">
        <v>493</v>
      </c>
      <c r="F1186" s="53">
        <v>1.74</v>
      </c>
    </row>
    <row r="1187" spans="1:6">
      <c r="A1187" s="52">
        <v>29114</v>
      </c>
      <c r="B1187" s="53" t="s">
        <v>509</v>
      </c>
      <c r="C1187" s="53" t="s">
        <v>503</v>
      </c>
      <c r="D1187" s="53" t="s">
        <v>504</v>
      </c>
      <c r="E1187" s="53" t="s">
        <v>493</v>
      </c>
      <c r="F1187" s="53">
        <v>1.74</v>
      </c>
    </row>
    <row r="1188" spans="1:6">
      <c r="A1188" s="52">
        <v>29114</v>
      </c>
      <c r="B1188" s="53" t="s">
        <v>508</v>
      </c>
      <c r="C1188" s="53" t="s">
        <v>506</v>
      </c>
      <c r="D1188" s="53" t="s">
        <v>504</v>
      </c>
      <c r="E1188" s="53" t="s">
        <v>493</v>
      </c>
      <c r="F1188" s="53">
        <v>1.74</v>
      </c>
    </row>
    <row r="1189" spans="1:6">
      <c r="A1189" s="52">
        <v>29114</v>
      </c>
      <c r="B1189" s="53" t="s">
        <v>509</v>
      </c>
      <c r="C1189" s="53" t="s">
        <v>506</v>
      </c>
      <c r="D1189" s="53" t="s">
        <v>504</v>
      </c>
      <c r="E1189" s="53" t="s">
        <v>493</v>
      </c>
      <c r="F1189" s="53">
        <v>1.74</v>
      </c>
    </row>
    <row r="1190" spans="1:6">
      <c r="A1190" s="52">
        <v>29114</v>
      </c>
      <c r="B1190" s="53" t="s">
        <v>508</v>
      </c>
      <c r="C1190" s="53" t="s">
        <v>503</v>
      </c>
      <c r="D1190" s="53" t="s">
        <v>505</v>
      </c>
      <c r="E1190" s="53" t="s">
        <v>493</v>
      </c>
      <c r="F1190" s="53">
        <v>1.74</v>
      </c>
    </row>
    <row r="1191" spans="1:6">
      <c r="A1191" s="52">
        <v>29114</v>
      </c>
      <c r="B1191" s="53" t="s">
        <v>509</v>
      </c>
      <c r="C1191" s="53" t="s">
        <v>503</v>
      </c>
      <c r="D1191" s="53" t="s">
        <v>505</v>
      </c>
      <c r="E1191" s="53" t="s">
        <v>493</v>
      </c>
      <c r="F1191" s="53">
        <v>1.74</v>
      </c>
    </row>
    <row r="1192" spans="1:6">
      <c r="A1192" s="52">
        <v>29114</v>
      </c>
      <c r="B1192" s="53" t="s">
        <v>508</v>
      </c>
      <c r="C1192" s="53" t="s">
        <v>506</v>
      </c>
      <c r="D1192" s="53" t="s">
        <v>505</v>
      </c>
      <c r="E1192" s="53" t="s">
        <v>493</v>
      </c>
      <c r="F1192" s="53">
        <v>1.74</v>
      </c>
    </row>
    <row r="1193" spans="1:6">
      <c r="A1193" s="52">
        <v>29114</v>
      </c>
      <c r="B1193" s="53" t="s">
        <v>509</v>
      </c>
      <c r="C1193" s="53" t="s">
        <v>506</v>
      </c>
      <c r="D1193" s="53" t="s">
        <v>505</v>
      </c>
      <c r="E1193" s="53" t="s">
        <v>493</v>
      </c>
      <c r="F1193" s="53">
        <v>1.74</v>
      </c>
    </row>
    <row r="1194" spans="1:6">
      <c r="A1194" s="52">
        <v>29114</v>
      </c>
      <c r="B1194" s="53" t="s">
        <v>510</v>
      </c>
      <c r="C1194" s="53" t="s">
        <v>503</v>
      </c>
      <c r="D1194" s="53" t="s">
        <v>504</v>
      </c>
      <c r="E1194" s="53" t="s">
        <v>493</v>
      </c>
      <c r="F1194" s="53">
        <v>1.74</v>
      </c>
    </row>
    <row r="1195" spans="1:6">
      <c r="A1195" s="52">
        <v>29114</v>
      </c>
      <c r="B1195" s="53" t="s">
        <v>510</v>
      </c>
      <c r="C1195" s="53" t="s">
        <v>503</v>
      </c>
      <c r="D1195" s="53" t="s">
        <v>505</v>
      </c>
      <c r="E1195" s="53" t="s">
        <v>493</v>
      </c>
      <c r="F1195" s="53">
        <v>1.74</v>
      </c>
    </row>
    <row r="1196" spans="1:6">
      <c r="A1196" s="52">
        <v>29114</v>
      </c>
      <c r="B1196" s="53" t="s">
        <v>510</v>
      </c>
      <c r="C1196" s="53" t="s">
        <v>506</v>
      </c>
      <c r="D1196" s="53" t="s">
        <v>504</v>
      </c>
      <c r="E1196" s="53" t="s">
        <v>493</v>
      </c>
      <c r="F1196" s="53">
        <v>1.74</v>
      </c>
    </row>
    <row r="1197" spans="1:6">
      <c r="A1197" s="52">
        <v>29114</v>
      </c>
      <c r="B1197" s="53" t="s">
        <v>510</v>
      </c>
      <c r="C1197" s="53" t="s">
        <v>506</v>
      </c>
      <c r="D1197" s="53" t="s">
        <v>505</v>
      </c>
      <c r="E1197" s="53" t="s">
        <v>493</v>
      </c>
      <c r="F1197" s="53">
        <v>1.74</v>
      </c>
    </row>
    <row r="1198" spans="1:6">
      <c r="A1198" s="52">
        <v>29114</v>
      </c>
      <c r="B1198" s="53" t="s">
        <v>511</v>
      </c>
      <c r="C1198" s="53" t="s">
        <v>503</v>
      </c>
      <c r="D1198" s="53" t="s">
        <v>504</v>
      </c>
      <c r="E1198" s="53" t="s">
        <v>493</v>
      </c>
      <c r="F1198" s="53">
        <v>1.74</v>
      </c>
    </row>
    <row r="1199" spans="1:6">
      <c r="A1199" s="52">
        <v>29114</v>
      </c>
      <c r="B1199" s="53" t="s">
        <v>511</v>
      </c>
      <c r="C1199" s="53" t="s">
        <v>503</v>
      </c>
      <c r="D1199" s="53" t="s">
        <v>505</v>
      </c>
      <c r="E1199" s="53" t="s">
        <v>493</v>
      </c>
      <c r="F1199" s="53">
        <v>1.74</v>
      </c>
    </row>
    <row r="1200" spans="1:6">
      <c r="A1200" s="52">
        <v>29114</v>
      </c>
      <c r="B1200" s="53" t="s">
        <v>511</v>
      </c>
      <c r="C1200" s="53" t="s">
        <v>506</v>
      </c>
      <c r="D1200" s="53" t="s">
        <v>504</v>
      </c>
      <c r="E1200" s="53" t="s">
        <v>493</v>
      </c>
      <c r="F1200" s="53">
        <v>1.74</v>
      </c>
    </row>
    <row r="1201" spans="1:6">
      <c r="A1201" s="52">
        <v>29114</v>
      </c>
      <c r="B1201" s="53" t="s">
        <v>511</v>
      </c>
      <c r="C1201" s="53" t="s">
        <v>506</v>
      </c>
      <c r="D1201" s="53" t="s">
        <v>505</v>
      </c>
      <c r="E1201" s="53" t="s">
        <v>493</v>
      </c>
      <c r="F1201" s="53">
        <v>1.74</v>
      </c>
    </row>
    <row r="1202" spans="1:6">
      <c r="A1202" s="52">
        <v>29114</v>
      </c>
      <c r="B1202" s="53" t="s">
        <v>502</v>
      </c>
      <c r="C1202" s="53" t="s">
        <v>503</v>
      </c>
      <c r="D1202" s="53" t="s">
        <v>504</v>
      </c>
      <c r="E1202" s="53" t="s">
        <v>495</v>
      </c>
      <c r="F1202" s="53">
        <v>1.04</v>
      </c>
    </row>
    <row r="1203" spans="1:6">
      <c r="A1203" s="52">
        <v>29114</v>
      </c>
      <c r="B1203" s="53" t="s">
        <v>502</v>
      </c>
      <c r="C1203" s="53" t="s">
        <v>506</v>
      </c>
      <c r="D1203" s="53" t="s">
        <v>504</v>
      </c>
      <c r="E1203" s="53" t="s">
        <v>495</v>
      </c>
      <c r="F1203" s="53">
        <v>1.04</v>
      </c>
    </row>
    <row r="1204" spans="1:6">
      <c r="A1204" s="52">
        <v>29114</v>
      </c>
      <c r="B1204" s="53" t="s">
        <v>502</v>
      </c>
      <c r="C1204" s="53" t="s">
        <v>503</v>
      </c>
      <c r="D1204" s="53" t="s">
        <v>505</v>
      </c>
      <c r="E1204" s="53" t="s">
        <v>495</v>
      </c>
      <c r="F1204" s="53">
        <v>2.09</v>
      </c>
    </row>
    <row r="1205" spans="1:6">
      <c r="A1205" s="52">
        <v>29114</v>
      </c>
      <c r="B1205" s="53" t="s">
        <v>502</v>
      </c>
      <c r="C1205" s="53" t="s">
        <v>506</v>
      </c>
      <c r="D1205" s="53" t="s">
        <v>505</v>
      </c>
      <c r="E1205" s="53" t="s">
        <v>495</v>
      </c>
      <c r="F1205" s="53">
        <v>2.09</v>
      </c>
    </row>
    <row r="1206" spans="1:6">
      <c r="A1206" s="52">
        <v>29114</v>
      </c>
      <c r="B1206" s="53" t="s">
        <v>507</v>
      </c>
      <c r="C1206" s="53" t="s">
        <v>503</v>
      </c>
      <c r="D1206" s="53" t="s">
        <v>504</v>
      </c>
      <c r="E1206" s="53" t="s">
        <v>495</v>
      </c>
      <c r="F1206" s="53">
        <v>1.04</v>
      </c>
    </row>
    <row r="1207" spans="1:6">
      <c r="A1207" s="52">
        <v>29114</v>
      </c>
      <c r="B1207" s="53" t="s">
        <v>507</v>
      </c>
      <c r="C1207" s="53" t="s">
        <v>506</v>
      </c>
      <c r="D1207" s="53" t="s">
        <v>504</v>
      </c>
      <c r="E1207" s="53" t="s">
        <v>495</v>
      </c>
      <c r="F1207" s="53">
        <v>1.04</v>
      </c>
    </row>
    <row r="1208" spans="1:6">
      <c r="A1208" s="52">
        <v>29114</v>
      </c>
      <c r="B1208" s="53" t="s">
        <v>507</v>
      </c>
      <c r="C1208" s="53" t="s">
        <v>503</v>
      </c>
      <c r="D1208" s="53" t="s">
        <v>505</v>
      </c>
      <c r="E1208" s="53" t="s">
        <v>495</v>
      </c>
      <c r="F1208" s="53">
        <v>1.04</v>
      </c>
    </row>
    <row r="1209" spans="1:6">
      <c r="A1209" s="52">
        <v>29114</v>
      </c>
      <c r="B1209" s="53" t="s">
        <v>507</v>
      </c>
      <c r="C1209" s="53" t="s">
        <v>506</v>
      </c>
      <c r="D1209" s="53" t="s">
        <v>505</v>
      </c>
      <c r="E1209" s="53" t="s">
        <v>495</v>
      </c>
      <c r="F1209" s="53">
        <v>1.04</v>
      </c>
    </row>
    <row r="1210" spans="1:6">
      <c r="A1210" s="52">
        <v>29114</v>
      </c>
      <c r="B1210" s="53" t="s">
        <v>508</v>
      </c>
      <c r="C1210" s="53" t="s">
        <v>503</v>
      </c>
      <c r="D1210" s="53" t="s">
        <v>504</v>
      </c>
      <c r="E1210" s="53" t="s">
        <v>495</v>
      </c>
      <c r="F1210" s="53">
        <v>1.74</v>
      </c>
    </row>
    <row r="1211" spans="1:6">
      <c r="A1211" s="52">
        <v>29114</v>
      </c>
      <c r="B1211" s="53" t="s">
        <v>509</v>
      </c>
      <c r="C1211" s="53" t="s">
        <v>503</v>
      </c>
      <c r="D1211" s="53" t="s">
        <v>504</v>
      </c>
      <c r="E1211" s="53" t="s">
        <v>495</v>
      </c>
      <c r="F1211" s="53">
        <v>1.74</v>
      </c>
    </row>
    <row r="1212" spans="1:6">
      <c r="A1212" s="52">
        <v>29114</v>
      </c>
      <c r="B1212" s="53" t="s">
        <v>508</v>
      </c>
      <c r="C1212" s="53" t="s">
        <v>506</v>
      </c>
      <c r="D1212" s="53" t="s">
        <v>504</v>
      </c>
      <c r="E1212" s="53" t="s">
        <v>495</v>
      </c>
      <c r="F1212" s="53">
        <v>1.74</v>
      </c>
    </row>
    <row r="1213" spans="1:6">
      <c r="A1213" s="52">
        <v>29114</v>
      </c>
      <c r="B1213" s="53" t="s">
        <v>509</v>
      </c>
      <c r="C1213" s="53" t="s">
        <v>506</v>
      </c>
      <c r="D1213" s="53" t="s">
        <v>504</v>
      </c>
      <c r="E1213" s="53" t="s">
        <v>495</v>
      </c>
      <c r="F1213" s="53">
        <v>1.74</v>
      </c>
    </row>
    <row r="1214" spans="1:6">
      <c r="A1214" s="52">
        <v>29114</v>
      </c>
      <c r="B1214" s="53" t="s">
        <v>508</v>
      </c>
      <c r="C1214" s="53" t="s">
        <v>503</v>
      </c>
      <c r="D1214" s="53" t="s">
        <v>505</v>
      </c>
      <c r="E1214" s="53" t="s">
        <v>495</v>
      </c>
      <c r="F1214" s="53">
        <v>1.74</v>
      </c>
    </row>
    <row r="1215" spans="1:6">
      <c r="A1215" s="52">
        <v>29114</v>
      </c>
      <c r="B1215" s="53" t="s">
        <v>509</v>
      </c>
      <c r="C1215" s="53" t="s">
        <v>503</v>
      </c>
      <c r="D1215" s="53" t="s">
        <v>505</v>
      </c>
      <c r="E1215" s="53" t="s">
        <v>495</v>
      </c>
      <c r="F1215" s="53">
        <v>1.74</v>
      </c>
    </row>
    <row r="1216" spans="1:6">
      <c r="A1216" s="52">
        <v>29114</v>
      </c>
      <c r="B1216" s="53" t="s">
        <v>508</v>
      </c>
      <c r="C1216" s="53" t="s">
        <v>506</v>
      </c>
      <c r="D1216" s="53" t="s">
        <v>505</v>
      </c>
      <c r="E1216" s="53" t="s">
        <v>495</v>
      </c>
      <c r="F1216" s="53">
        <v>1.74</v>
      </c>
    </row>
    <row r="1217" spans="1:6">
      <c r="A1217" s="52">
        <v>29114</v>
      </c>
      <c r="B1217" s="53" t="s">
        <v>509</v>
      </c>
      <c r="C1217" s="53" t="s">
        <v>506</v>
      </c>
      <c r="D1217" s="53" t="s">
        <v>505</v>
      </c>
      <c r="E1217" s="53" t="s">
        <v>495</v>
      </c>
      <c r="F1217" s="53">
        <v>1.74</v>
      </c>
    </row>
    <row r="1218" spans="1:6">
      <c r="A1218" s="52">
        <v>29114</v>
      </c>
      <c r="B1218" s="53" t="s">
        <v>510</v>
      </c>
      <c r="C1218" s="53" t="s">
        <v>503</v>
      </c>
      <c r="D1218" s="53" t="s">
        <v>504</v>
      </c>
      <c r="E1218" s="53" t="s">
        <v>495</v>
      </c>
      <c r="F1218" s="53">
        <v>1.74</v>
      </c>
    </row>
    <row r="1219" spans="1:6">
      <c r="A1219" s="52">
        <v>29114</v>
      </c>
      <c r="B1219" s="53" t="s">
        <v>510</v>
      </c>
      <c r="C1219" s="53" t="s">
        <v>503</v>
      </c>
      <c r="D1219" s="53" t="s">
        <v>505</v>
      </c>
      <c r="E1219" s="53" t="s">
        <v>495</v>
      </c>
      <c r="F1219" s="53">
        <v>1.74</v>
      </c>
    </row>
    <row r="1220" spans="1:6">
      <c r="A1220" s="52">
        <v>29114</v>
      </c>
      <c r="B1220" s="53" t="s">
        <v>510</v>
      </c>
      <c r="C1220" s="53" t="s">
        <v>506</v>
      </c>
      <c r="D1220" s="53" t="s">
        <v>504</v>
      </c>
      <c r="E1220" s="53" t="s">
        <v>495</v>
      </c>
      <c r="F1220" s="53">
        <v>1.74</v>
      </c>
    </row>
    <row r="1221" spans="1:6">
      <c r="A1221" s="52">
        <v>29114</v>
      </c>
      <c r="B1221" s="53" t="s">
        <v>510</v>
      </c>
      <c r="C1221" s="53" t="s">
        <v>506</v>
      </c>
      <c r="D1221" s="53" t="s">
        <v>505</v>
      </c>
      <c r="E1221" s="53" t="s">
        <v>495</v>
      </c>
      <c r="F1221" s="53">
        <v>1.74</v>
      </c>
    </row>
    <row r="1222" spans="1:6">
      <c r="A1222" s="52">
        <v>29114</v>
      </c>
      <c r="B1222" s="53" t="s">
        <v>511</v>
      </c>
      <c r="C1222" s="53" t="s">
        <v>503</v>
      </c>
      <c r="D1222" s="53" t="s">
        <v>504</v>
      </c>
      <c r="E1222" s="53" t="s">
        <v>495</v>
      </c>
      <c r="F1222" s="53">
        <v>1.74</v>
      </c>
    </row>
    <row r="1223" spans="1:6">
      <c r="A1223" s="52">
        <v>29114</v>
      </c>
      <c r="B1223" s="53" t="s">
        <v>511</v>
      </c>
      <c r="C1223" s="53" t="s">
        <v>503</v>
      </c>
      <c r="D1223" s="53" t="s">
        <v>505</v>
      </c>
      <c r="E1223" s="53" t="s">
        <v>495</v>
      </c>
      <c r="F1223" s="53">
        <v>1.74</v>
      </c>
    </row>
    <row r="1224" spans="1:6">
      <c r="A1224" s="52">
        <v>29114</v>
      </c>
      <c r="B1224" s="53" t="s">
        <v>511</v>
      </c>
      <c r="C1224" s="53" t="s">
        <v>506</v>
      </c>
      <c r="D1224" s="53" t="s">
        <v>504</v>
      </c>
      <c r="E1224" s="53" t="s">
        <v>495</v>
      </c>
      <c r="F1224" s="53">
        <v>1.74</v>
      </c>
    </row>
    <row r="1225" spans="1:6">
      <c r="A1225" s="52">
        <v>29114</v>
      </c>
      <c r="B1225" s="53" t="s">
        <v>511</v>
      </c>
      <c r="C1225" s="53" t="s">
        <v>506</v>
      </c>
      <c r="D1225" s="53" t="s">
        <v>505</v>
      </c>
      <c r="E1225" s="53" t="s">
        <v>495</v>
      </c>
      <c r="F1225" s="53">
        <v>1.74</v>
      </c>
    </row>
    <row r="1226" spans="1:6">
      <c r="A1226" s="52">
        <v>29114</v>
      </c>
      <c r="B1226" s="53" t="s">
        <v>502</v>
      </c>
      <c r="C1226" s="53" t="s">
        <v>503</v>
      </c>
      <c r="D1226" s="53" t="s">
        <v>504</v>
      </c>
      <c r="E1226" s="53" t="s">
        <v>496</v>
      </c>
      <c r="F1226" s="53">
        <v>1.04</v>
      </c>
    </row>
    <row r="1227" spans="1:6">
      <c r="A1227" s="52">
        <v>29114</v>
      </c>
      <c r="B1227" s="53" t="s">
        <v>502</v>
      </c>
      <c r="C1227" s="53" t="s">
        <v>506</v>
      </c>
      <c r="D1227" s="53" t="s">
        <v>504</v>
      </c>
      <c r="E1227" s="53" t="s">
        <v>496</v>
      </c>
      <c r="F1227" s="53">
        <v>1.04</v>
      </c>
    </row>
    <row r="1228" spans="1:6">
      <c r="A1228" s="52">
        <v>29114</v>
      </c>
      <c r="B1228" s="53" t="s">
        <v>502</v>
      </c>
      <c r="C1228" s="53" t="s">
        <v>503</v>
      </c>
      <c r="D1228" s="53" t="s">
        <v>505</v>
      </c>
      <c r="E1228" s="53" t="s">
        <v>496</v>
      </c>
      <c r="F1228" s="53">
        <v>2.09</v>
      </c>
    </row>
    <row r="1229" spans="1:6">
      <c r="A1229" s="52">
        <v>29114</v>
      </c>
      <c r="B1229" s="53" t="s">
        <v>502</v>
      </c>
      <c r="C1229" s="53" t="s">
        <v>506</v>
      </c>
      <c r="D1229" s="53" t="s">
        <v>505</v>
      </c>
      <c r="E1229" s="53" t="s">
        <v>496</v>
      </c>
      <c r="F1229" s="53">
        <v>2.09</v>
      </c>
    </row>
    <row r="1230" spans="1:6">
      <c r="A1230" s="52">
        <v>29114</v>
      </c>
      <c r="B1230" s="53" t="s">
        <v>507</v>
      </c>
      <c r="C1230" s="53" t="s">
        <v>503</v>
      </c>
      <c r="D1230" s="53" t="s">
        <v>504</v>
      </c>
      <c r="E1230" s="53" t="s">
        <v>496</v>
      </c>
      <c r="F1230" s="53">
        <v>1.04</v>
      </c>
    </row>
    <row r="1231" spans="1:6">
      <c r="A1231" s="52">
        <v>29114</v>
      </c>
      <c r="B1231" s="53" t="s">
        <v>507</v>
      </c>
      <c r="C1231" s="53" t="s">
        <v>506</v>
      </c>
      <c r="D1231" s="53" t="s">
        <v>504</v>
      </c>
      <c r="E1231" s="53" t="s">
        <v>496</v>
      </c>
      <c r="F1231" s="53">
        <v>1.04</v>
      </c>
    </row>
    <row r="1232" spans="1:6">
      <c r="A1232" s="52">
        <v>29114</v>
      </c>
      <c r="B1232" s="53" t="s">
        <v>507</v>
      </c>
      <c r="C1232" s="53" t="s">
        <v>503</v>
      </c>
      <c r="D1232" s="53" t="s">
        <v>505</v>
      </c>
      <c r="E1232" s="53" t="s">
        <v>496</v>
      </c>
      <c r="F1232" s="53">
        <v>1.04</v>
      </c>
    </row>
    <row r="1233" spans="1:6">
      <c r="A1233" s="52">
        <v>29114</v>
      </c>
      <c r="B1233" s="53" t="s">
        <v>507</v>
      </c>
      <c r="C1233" s="53" t="s">
        <v>506</v>
      </c>
      <c r="D1233" s="53" t="s">
        <v>505</v>
      </c>
      <c r="E1233" s="53" t="s">
        <v>496</v>
      </c>
      <c r="F1233" s="53">
        <v>1.04</v>
      </c>
    </row>
    <row r="1234" spans="1:6">
      <c r="A1234" s="52">
        <v>29114</v>
      </c>
      <c r="B1234" s="53" t="s">
        <v>508</v>
      </c>
      <c r="C1234" s="53" t="s">
        <v>503</v>
      </c>
      <c r="D1234" s="53" t="s">
        <v>504</v>
      </c>
      <c r="E1234" s="53" t="s">
        <v>496</v>
      </c>
      <c r="F1234" s="53">
        <v>1.74</v>
      </c>
    </row>
    <row r="1235" spans="1:6">
      <c r="A1235" s="52">
        <v>29114</v>
      </c>
      <c r="B1235" s="53" t="s">
        <v>509</v>
      </c>
      <c r="C1235" s="53" t="s">
        <v>503</v>
      </c>
      <c r="D1235" s="53" t="s">
        <v>504</v>
      </c>
      <c r="E1235" s="53" t="s">
        <v>496</v>
      </c>
      <c r="F1235" s="53">
        <v>1.74</v>
      </c>
    </row>
    <row r="1236" spans="1:6">
      <c r="A1236" s="52">
        <v>29114</v>
      </c>
      <c r="B1236" s="53" t="s">
        <v>508</v>
      </c>
      <c r="C1236" s="53" t="s">
        <v>506</v>
      </c>
      <c r="D1236" s="53" t="s">
        <v>504</v>
      </c>
      <c r="E1236" s="53" t="s">
        <v>496</v>
      </c>
      <c r="F1236" s="53">
        <v>1.74</v>
      </c>
    </row>
    <row r="1237" spans="1:6">
      <c r="A1237" s="52">
        <v>29114</v>
      </c>
      <c r="B1237" s="53" t="s">
        <v>509</v>
      </c>
      <c r="C1237" s="53" t="s">
        <v>506</v>
      </c>
      <c r="D1237" s="53" t="s">
        <v>504</v>
      </c>
      <c r="E1237" s="53" t="s">
        <v>496</v>
      </c>
      <c r="F1237" s="53">
        <v>1.74</v>
      </c>
    </row>
    <row r="1238" spans="1:6">
      <c r="A1238" s="52">
        <v>29114</v>
      </c>
      <c r="B1238" s="53" t="s">
        <v>508</v>
      </c>
      <c r="C1238" s="53" t="s">
        <v>503</v>
      </c>
      <c r="D1238" s="53" t="s">
        <v>505</v>
      </c>
      <c r="E1238" s="53" t="s">
        <v>496</v>
      </c>
      <c r="F1238" s="53">
        <v>1.74</v>
      </c>
    </row>
    <row r="1239" spans="1:6">
      <c r="A1239" s="52">
        <v>29114</v>
      </c>
      <c r="B1239" s="53" t="s">
        <v>509</v>
      </c>
      <c r="C1239" s="53" t="s">
        <v>503</v>
      </c>
      <c r="D1239" s="53" t="s">
        <v>505</v>
      </c>
      <c r="E1239" s="53" t="s">
        <v>496</v>
      </c>
      <c r="F1239" s="53">
        <v>1.74</v>
      </c>
    </row>
    <row r="1240" spans="1:6">
      <c r="A1240" s="52">
        <v>29114</v>
      </c>
      <c r="B1240" s="53" t="s">
        <v>508</v>
      </c>
      <c r="C1240" s="53" t="s">
        <v>506</v>
      </c>
      <c r="D1240" s="53" t="s">
        <v>505</v>
      </c>
      <c r="E1240" s="53" t="s">
        <v>496</v>
      </c>
      <c r="F1240" s="53">
        <v>1.74</v>
      </c>
    </row>
    <row r="1241" spans="1:6">
      <c r="A1241" s="52">
        <v>29114</v>
      </c>
      <c r="B1241" s="53" t="s">
        <v>509</v>
      </c>
      <c r="C1241" s="53" t="s">
        <v>506</v>
      </c>
      <c r="D1241" s="53" t="s">
        <v>505</v>
      </c>
      <c r="E1241" s="53" t="s">
        <v>496</v>
      </c>
      <c r="F1241" s="53">
        <v>1.74</v>
      </c>
    </row>
    <row r="1242" spans="1:6">
      <c r="A1242" s="52">
        <v>29114</v>
      </c>
      <c r="B1242" s="53" t="s">
        <v>510</v>
      </c>
      <c r="C1242" s="53" t="s">
        <v>503</v>
      </c>
      <c r="D1242" s="53" t="s">
        <v>504</v>
      </c>
      <c r="E1242" s="53" t="s">
        <v>496</v>
      </c>
      <c r="F1242" s="53">
        <v>1.74</v>
      </c>
    </row>
    <row r="1243" spans="1:6">
      <c r="A1243" s="52">
        <v>29114</v>
      </c>
      <c r="B1243" s="53" t="s">
        <v>510</v>
      </c>
      <c r="C1243" s="53" t="s">
        <v>503</v>
      </c>
      <c r="D1243" s="53" t="s">
        <v>505</v>
      </c>
      <c r="E1243" s="53" t="s">
        <v>496</v>
      </c>
      <c r="F1243" s="53">
        <v>1.74</v>
      </c>
    </row>
    <row r="1244" spans="1:6">
      <c r="A1244" s="52">
        <v>29114</v>
      </c>
      <c r="B1244" s="53" t="s">
        <v>510</v>
      </c>
      <c r="C1244" s="53" t="s">
        <v>506</v>
      </c>
      <c r="D1244" s="53" t="s">
        <v>504</v>
      </c>
      <c r="E1244" s="53" t="s">
        <v>496</v>
      </c>
      <c r="F1244" s="53">
        <v>1.74</v>
      </c>
    </row>
    <row r="1245" spans="1:6">
      <c r="A1245" s="52">
        <v>29114</v>
      </c>
      <c r="B1245" s="53" t="s">
        <v>510</v>
      </c>
      <c r="C1245" s="53" t="s">
        <v>506</v>
      </c>
      <c r="D1245" s="53" t="s">
        <v>505</v>
      </c>
      <c r="E1245" s="53" t="s">
        <v>496</v>
      </c>
      <c r="F1245" s="53">
        <v>1.74</v>
      </c>
    </row>
    <row r="1246" spans="1:6">
      <c r="A1246" s="52">
        <v>29114</v>
      </c>
      <c r="B1246" s="53" t="s">
        <v>511</v>
      </c>
      <c r="C1246" s="53" t="s">
        <v>503</v>
      </c>
      <c r="D1246" s="53" t="s">
        <v>504</v>
      </c>
      <c r="E1246" s="53" t="s">
        <v>496</v>
      </c>
      <c r="F1246" s="53">
        <v>1.74</v>
      </c>
    </row>
    <row r="1247" spans="1:6">
      <c r="A1247" s="52">
        <v>29114</v>
      </c>
      <c r="B1247" s="53" t="s">
        <v>511</v>
      </c>
      <c r="C1247" s="53" t="s">
        <v>503</v>
      </c>
      <c r="D1247" s="53" t="s">
        <v>505</v>
      </c>
      <c r="E1247" s="53" t="s">
        <v>496</v>
      </c>
      <c r="F1247" s="53">
        <v>1.74</v>
      </c>
    </row>
    <row r="1248" spans="1:6">
      <c r="A1248" s="52">
        <v>29114</v>
      </c>
      <c r="B1248" s="53" t="s">
        <v>511</v>
      </c>
      <c r="C1248" s="53" t="s">
        <v>506</v>
      </c>
      <c r="D1248" s="53" t="s">
        <v>504</v>
      </c>
      <c r="E1248" s="53" t="s">
        <v>496</v>
      </c>
      <c r="F1248" s="53">
        <v>1.74</v>
      </c>
    </row>
    <row r="1249" spans="1:6">
      <c r="A1249" s="52">
        <v>29114</v>
      </c>
      <c r="B1249" s="53" t="s">
        <v>511</v>
      </c>
      <c r="C1249" s="53" t="s">
        <v>506</v>
      </c>
      <c r="D1249" s="53" t="s">
        <v>505</v>
      </c>
      <c r="E1249" s="53" t="s">
        <v>496</v>
      </c>
      <c r="F1249" s="53">
        <v>1.74</v>
      </c>
    </row>
    <row r="1250" spans="1:6">
      <c r="A1250" s="52">
        <v>2</v>
      </c>
      <c r="B1250" s="53" t="s">
        <v>502</v>
      </c>
      <c r="C1250" s="53" t="s">
        <v>503</v>
      </c>
      <c r="D1250" s="53" t="s">
        <v>504</v>
      </c>
      <c r="E1250" s="53" t="s">
        <v>494</v>
      </c>
      <c r="F1250" s="53">
        <v>1.04</v>
      </c>
    </row>
    <row r="1251" spans="1:6">
      <c r="A1251" s="52">
        <v>2</v>
      </c>
      <c r="B1251" s="53" t="s">
        <v>502</v>
      </c>
      <c r="C1251" s="53" t="s">
        <v>506</v>
      </c>
      <c r="D1251" s="53" t="s">
        <v>504</v>
      </c>
      <c r="E1251" s="53" t="s">
        <v>494</v>
      </c>
      <c r="F1251" s="53">
        <v>1.04</v>
      </c>
    </row>
    <row r="1252" spans="1:6">
      <c r="A1252" s="52">
        <v>2</v>
      </c>
      <c r="B1252" s="53" t="s">
        <v>502</v>
      </c>
      <c r="C1252" s="53" t="s">
        <v>503</v>
      </c>
      <c r="D1252" s="53" t="s">
        <v>505</v>
      </c>
      <c r="E1252" s="53" t="s">
        <v>494</v>
      </c>
      <c r="F1252" s="53">
        <v>2.09</v>
      </c>
    </row>
    <row r="1253" spans="1:6">
      <c r="A1253" s="52">
        <v>2</v>
      </c>
      <c r="B1253" s="53" t="s">
        <v>502</v>
      </c>
      <c r="C1253" s="53" t="s">
        <v>506</v>
      </c>
      <c r="D1253" s="53" t="s">
        <v>505</v>
      </c>
      <c r="E1253" s="53" t="s">
        <v>494</v>
      </c>
      <c r="F1253" s="53">
        <v>2.09</v>
      </c>
    </row>
    <row r="1254" spans="1:6">
      <c r="A1254" s="52">
        <v>2</v>
      </c>
      <c r="B1254" s="53" t="s">
        <v>507</v>
      </c>
      <c r="C1254" s="53" t="s">
        <v>503</v>
      </c>
      <c r="D1254" s="53" t="s">
        <v>504</v>
      </c>
      <c r="E1254" s="53" t="s">
        <v>494</v>
      </c>
      <c r="F1254" s="53">
        <v>1.04</v>
      </c>
    </row>
    <row r="1255" spans="1:6">
      <c r="A1255" s="52">
        <v>2</v>
      </c>
      <c r="B1255" s="53" t="s">
        <v>507</v>
      </c>
      <c r="C1255" s="53" t="s">
        <v>506</v>
      </c>
      <c r="D1255" s="53" t="s">
        <v>504</v>
      </c>
      <c r="E1255" s="53" t="s">
        <v>494</v>
      </c>
      <c r="F1255" s="53">
        <v>1.04</v>
      </c>
    </row>
    <row r="1256" spans="1:6">
      <c r="A1256" s="52">
        <v>2</v>
      </c>
      <c r="B1256" s="53" t="s">
        <v>507</v>
      </c>
      <c r="C1256" s="53" t="s">
        <v>503</v>
      </c>
      <c r="D1256" s="53" t="s">
        <v>505</v>
      </c>
      <c r="E1256" s="53" t="s">
        <v>494</v>
      </c>
      <c r="F1256" s="53">
        <v>1.04</v>
      </c>
    </row>
    <row r="1257" spans="1:6">
      <c r="A1257" s="52">
        <v>2</v>
      </c>
      <c r="B1257" s="53" t="s">
        <v>507</v>
      </c>
      <c r="C1257" s="53" t="s">
        <v>506</v>
      </c>
      <c r="D1257" s="53" t="s">
        <v>505</v>
      </c>
      <c r="E1257" s="53" t="s">
        <v>494</v>
      </c>
      <c r="F1257" s="53">
        <v>1.04</v>
      </c>
    </row>
    <row r="1258" spans="1:6">
      <c r="A1258" s="52">
        <v>2</v>
      </c>
      <c r="B1258" s="53" t="s">
        <v>508</v>
      </c>
      <c r="C1258" s="53" t="s">
        <v>503</v>
      </c>
      <c r="D1258" s="53" t="s">
        <v>504</v>
      </c>
      <c r="E1258" s="53" t="s">
        <v>494</v>
      </c>
      <c r="F1258" s="53">
        <v>1.74</v>
      </c>
    </row>
    <row r="1259" spans="1:6">
      <c r="A1259" s="52">
        <v>2</v>
      </c>
      <c r="B1259" s="53" t="s">
        <v>509</v>
      </c>
      <c r="C1259" s="53" t="s">
        <v>503</v>
      </c>
      <c r="D1259" s="53" t="s">
        <v>504</v>
      </c>
      <c r="E1259" s="53" t="s">
        <v>494</v>
      </c>
      <c r="F1259" s="53">
        <v>1.74</v>
      </c>
    </row>
    <row r="1260" spans="1:6">
      <c r="A1260" s="52">
        <v>2</v>
      </c>
      <c r="B1260" s="53" t="s">
        <v>508</v>
      </c>
      <c r="C1260" s="53" t="s">
        <v>506</v>
      </c>
      <c r="D1260" s="53" t="s">
        <v>504</v>
      </c>
      <c r="E1260" s="53" t="s">
        <v>494</v>
      </c>
      <c r="F1260" s="53">
        <v>1.74</v>
      </c>
    </row>
    <row r="1261" spans="1:6">
      <c r="A1261" s="52">
        <v>2</v>
      </c>
      <c r="B1261" s="53" t="s">
        <v>509</v>
      </c>
      <c r="C1261" s="53" t="s">
        <v>506</v>
      </c>
      <c r="D1261" s="53" t="s">
        <v>504</v>
      </c>
      <c r="E1261" s="53" t="s">
        <v>494</v>
      </c>
      <c r="F1261" s="53">
        <v>1.74</v>
      </c>
    </row>
    <row r="1262" spans="1:6">
      <c r="A1262" s="52">
        <v>2</v>
      </c>
      <c r="B1262" s="53" t="s">
        <v>508</v>
      </c>
      <c r="C1262" s="53" t="s">
        <v>503</v>
      </c>
      <c r="D1262" s="53" t="s">
        <v>505</v>
      </c>
      <c r="E1262" s="53" t="s">
        <v>494</v>
      </c>
      <c r="F1262" s="53">
        <v>1.74</v>
      </c>
    </row>
    <row r="1263" spans="1:6">
      <c r="A1263" s="52">
        <v>2</v>
      </c>
      <c r="B1263" s="53" t="s">
        <v>509</v>
      </c>
      <c r="C1263" s="53" t="s">
        <v>503</v>
      </c>
      <c r="D1263" s="53" t="s">
        <v>505</v>
      </c>
      <c r="E1263" s="53" t="s">
        <v>494</v>
      </c>
      <c r="F1263" s="53">
        <v>1.74</v>
      </c>
    </row>
    <row r="1264" spans="1:6">
      <c r="A1264" s="52">
        <v>2</v>
      </c>
      <c r="B1264" s="53" t="s">
        <v>508</v>
      </c>
      <c r="C1264" s="53" t="s">
        <v>506</v>
      </c>
      <c r="D1264" s="53" t="s">
        <v>505</v>
      </c>
      <c r="E1264" s="53" t="s">
        <v>494</v>
      </c>
      <c r="F1264" s="53">
        <v>1.74</v>
      </c>
    </row>
    <row r="1265" spans="1:6">
      <c r="A1265" s="52">
        <v>2</v>
      </c>
      <c r="B1265" s="53" t="s">
        <v>509</v>
      </c>
      <c r="C1265" s="53" t="s">
        <v>506</v>
      </c>
      <c r="D1265" s="53" t="s">
        <v>505</v>
      </c>
      <c r="E1265" s="53" t="s">
        <v>494</v>
      </c>
      <c r="F1265" s="53">
        <v>1.74</v>
      </c>
    </row>
    <row r="1266" spans="1:6">
      <c r="A1266" s="52">
        <v>2</v>
      </c>
      <c r="B1266" s="53" t="s">
        <v>510</v>
      </c>
      <c r="C1266" s="53" t="s">
        <v>503</v>
      </c>
      <c r="D1266" s="53" t="s">
        <v>504</v>
      </c>
      <c r="E1266" s="53" t="s">
        <v>494</v>
      </c>
      <c r="F1266" s="53">
        <v>1.74</v>
      </c>
    </row>
    <row r="1267" spans="1:6">
      <c r="A1267" s="52">
        <v>2</v>
      </c>
      <c r="B1267" s="53" t="s">
        <v>510</v>
      </c>
      <c r="C1267" s="53" t="s">
        <v>503</v>
      </c>
      <c r="D1267" s="53" t="s">
        <v>505</v>
      </c>
      <c r="E1267" s="53" t="s">
        <v>494</v>
      </c>
      <c r="F1267" s="53">
        <v>1.74</v>
      </c>
    </row>
    <row r="1268" spans="1:6">
      <c r="A1268" s="52">
        <v>2</v>
      </c>
      <c r="B1268" s="53" t="s">
        <v>510</v>
      </c>
      <c r="C1268" s="53" t="s">
        <v>506</v>
      </c>
      <c r="D1268" s="53" t="s">
        <v>504</v>
      </c>
      <c r="E1268" s="53" t="s">
        <v>494</v>
      </c>
      <c r="F1268" s="53">
        <v>1.74</v>
      </c>
    </row>
    <row r="1269" spans="1:6">
      <c r="A1269" s="52">
        <v>2</v>
      </c>
      <c r="B1269" s="53" t="s">
        <v>510</v>
      </c>
      <c r="C1269" s="53" t="s">
        <v>506</v>
      </c>
      <c r="D1269" s="53" t="s">
        <v>505</v>
      </c>
      <c r="E1269" s="53" t="s">
        <v>494</v>
      </c>
      <c r="F1269" s="53">
        <v>1.74</v>
      </c>
    </row>
    <row r="1270" spans="1:6">
      <c r="A1270" s="52">
        <v>2</v>
      </c>
      <c r="B1270" s="53" t="s">
        <v>511</v>
      </c>
      <c r="C1270" s="53" t="s">
        <v>503</v>
      </c>
      <c r="D1270" s="53" t="s">
        <v>504</v>
      </c>
      <c r="E1270" s="53" t="s">
        <v>494</v>
      </c>
      <c r="F1270" s="53">
        <v>1.74</v>
      </c>
    </row>
    <row r="1271" spans="1:6">
      <c r="A1271" s="52">
        <v>2</v>
      </c>
      <c r="B1271" s="53" t="s">
        <v>511</v>
      </c>
      <c r="C1271" s="53" t="s">
        <v>503</v>
      </c>
      <c r="D1271" s="53" t="s">
        <v>505</v>
      </c>
      <c r="E1271" s="53" t="s">
        <v>494</v>
      </c>
      <c r="F1271" s="53">
        <v>1.74</v>
      </c>
    </row>
    <row r="1272" spans="1:6">
      <c r="A1272" s="52">
        <v>2</v>
      </c>
      <c r="B1272" s="53" t="s">
        <v>511</v>
      </c>
      <c r="C1272" s="53" t="s">
        <v>506</v>
      </c>
      <c r="D1272" s="53" t="s">
        <v>504</v>
      </c>
      <c r="E1272" s="53" t="s">
        <v>494</v>
      </c>
      <c r="F1272" s="53">
        <v>1.74</v>
      </c>
    </row>
    <row r="1273" spans="1:6">
      <c r="A1273" s="52">
        <v>2</v>
      </c>
      <c r="B1273" s="53" t="s">
        <v>511</v>
      </c>
      <c r="C1273" s="53" t="s">
        <v>506</v>
      </c>
      <c r="D1273" s="53" t="s">
        <v>505</v>
      </c>
      <c r="E1273" s="53" t="s">
        <v>494</v>
      </c>
      <c r="F1273" s="53">
        <v>1.74</v>
      </c>
    </row>
    <row r="1274" spans="1:6">
      <c r="A1274" s="52">
        <v>2</v>
      </c>
      <c r="B1274" s="53" t="s">
        <v>502</v>
      </c>
      <c r="C1274" s="53" t="s">
        <v>503</v>
      </c>
      <c r="D1274" s="53" t="s">
        <v>504</v>
      </c>
      <c r="E1274" s="53" t="s">
        <v>493</v>
      </c>
      <c r="F1274" s="53">
        <v>1.04</v>
      </c>
    </row>
    <row r="1275" spans="1:6">
      <c r="A1275" s="52">
        <v>2</v>
      </c>
      <c r="B1275" s="53" t="s">
        <v>502</v>
      </c>
      <c r="C1275" s="53" t="s">
        <v>506</v>
      </c>
      <c r="D1275" s="53" t="s">
        <v>504</v>
      </c>
      <c r="E1275" s="53" t="s">
        <v>493</v>
      </c>
      <c r="F1275" s="53">
        <v>1.04</v>
      </c>
    </row>
    <row r="1276" spans="1:6">
      <c r="A1276" s="52">
        <v>2</v>
      </c>
      <c r="B1276" s="53" t="s">
        <v>502</v>
      </c>
      <c r="C1276" s="53" t="s">
        <v>503</v>
      </c>
      <c r="D1276" s="53" t="s">
        <v>505</v>
      </c>
      <c r="E1276" s="53" t="s">
        <v>493</v>
      </c>
      <c r="F1276" s="53">
        <v>2.09</v>
      </c>
    </row>
    <row r="1277" spans="1:6">
      <c r="A1277" s="52">
        <v>2</v>
      </c>
      <c r="B1277" s="53" t="s">
        <v>502</v>
      </c>
      <c r="C1277" s="53" t="s">
        <v>506</v>
      </c>
      <c r="D1277" s="53" t="s">
        <v>505</v>
      </c>
      <c r="E1277" s="53" t="s">
        <v>493</v>
      </c>
      <c r="F1277" s="53">
        <v>2.09</v>
      </c>
    </row>
    <row r="1278" spans="1:6">
      <c r="A1278" s="52">
        <v>2</v>
      </c>
      <c r="B1278" s="53" t="s">
        <v>507</v>
      </c>
      <c r="C1278" s="53" t="s">
        <v>503</v>
      </c>
      <c r="D1278" s="53" t="s">
        <v>504</v>
      </c>
      <c r="E1278" s="53" t="s">
        <v>493</v>
      </c>
      <c r="F1278" s="53">
        <v>1.04</v>
      </c>
    </row>
    <row r="1279" spans="1:6">
      <c r="A1279" s="52">
        <v>2</v>
      </c>
      <c r="B1279" s="53" t="s">
        <v>507</v>
      </c>
      <c r="C1279" s="53" t="s">
        <v>506</v>
      </c>
      <c r="D1279" s="53" t="s">
        <v>504</v>
      </c>
      <c r="E1279" s="53" t="s">
        <v>493</v>
      </c>
      <c r="F1279" s="53">
        <v>1.04</v>
      </c>
    </row>
    <row r="1280" spans="1:6">
      <c r="A1280" s="52">
        <v>2</v>
      </c>
      <c r="B1280" s="53" t="s">
        <v>507</v>
      </c>
      <c r="C1280" s="53" t="s">
        <v>503</v>
      </c>
      <c r="D1280" s="53" t="s">
        <v>505</v>
      </c>
      <c r="E1280" s="53" t="s">
        <v>493</v>
      </c>
      <c r="F1280" s="53">
        <v>1.04</v>
      </c>
    </row>
    <row r="1281" spans="1:6">
      <c r="A1281" s="52">
        <v>2</v>
      </c>
      <c r="B1281" s="53" t="s">
        <v>507</v>
      </c>
      <c r="C1281" s="53" t="s">
        <v>506</v>
      </c>
      <c r="D1281" s="53" t="s">
        <v>505</v>
      </c>
      <c r="E1281" s="53" t="s">
        <v>493</v>
      </c>
      <c r="F1281" s="53">
        <v>1.04</v>
      </c>
    </row>
    <row r="1282" spans="1:6">
      <c r="A1282" s="52">
        <v>2</v>
      </c>
      <c r="B1282" s="53" t="s">
        <v>508</v>
      </c>
      <c r="C1282" s="53" t="s">
        <v>503</v>
      </c>
      <c r="D1282" s="53" t="s">
        <v>504</v>
      </c>
      <c r="E1282" s="53" t="s">
        <v>493</v>
      </c>
      <c r="F1282" s="53">
        <v>1.74</v>
      </c>
    </row>
    <row r="1283" spans="1:6">
      <c r="A1283" s="52">
        <v>2</v>
      </c>
      <c r="B1283" s="53" t="s">
        <v>509</v>
      </c>
      <c r="C1283" s="53" t="s">
        <v>503</v>
      </c>
      <c r="D1283" s="53" t="s">
        <v>504</v>
      </c>
      <c r="E1283" s="53" t="s">
        <v>493</v>
      </c>
      <c r="F1283" s="53">
        <v>1.74</v>
      </c>
    </row>
    <row r="1284" spans="1:6">
      <c r="A1284" s="52">
        <v>2</v>
      </c>
      <c r="B1284" s="53" t="s">
        <v>508</v>
      </c>
      <c r="C1284" s="53" t="s">
        <v>506</v>
      </c>
      <c r="D1284" s="53" t="s">
        <v>504</v>
      </c>
      <c r="E1284" s="53" t="s">
        <v>493</v>
      </c>
      <c r="F1284" s="53">
        <v>1.74</v>
      </c>
    </row>
    <row r="1285" spans="1:6">
      <c r="A1285" s="52">
        <v>2</v>
      </c>
      <c r="B1285" s="53" t="s">
        <v>509</v>
      </c>
      <c r="C1285" s="53" t="s">
        <v>506</v>
      </c>
      <c r="D1285" s="53" t="s">
        <v>504</v>
      </c>
      <c r="E1285" s="53" t="s">
        <v>493</v>
      </c>
      <c r="F1285" s="53">
        <v>1.74</v>
      </c>
    </row>
    <row r="1286" spans="1:6">
      <c r="A1286" s="52">
        <v>2</v>
      </c>
      <c r="B1286" s="53" t="s">
        <v>508</v>
      </c>
      <c r="C1286" s="53" t="s">
        <v>503</v>
      </c>
      <c r="D1286" s="53" t="s">
        <v>505</v>
      </c>
      <c r="E1286" s="53" t="s">
        <v>493</v>
      </c>
      <c r="F1286" s="53">
        <v>1.74</v>
      </c>
    </row>
    <row r="1287" spans="1:6">
      <c r="A1287" s="52">
        <v>2</v>
      </c>
      <c r="B1287" s="53" t="s">
        <v>509</v>
      </c>
      <c r="C1287" s="53" t="s">
        <v>503</v>
      </c>
      <c r="D1287" s="53" t="s">
        <v>505</v>
      </c>
      <c r="E1287" s="53" t="s">
        <v>493</v>
      </c>
      <c r="F1287" s="53">
        <v>1.74</v>
      </c>
    </row>
    <row r="1288" spans="1:6">
      <c r="A1288" s="52">
        <v>2</v>
      </c>
      <c r="B1288" s="53" t="s">
        <v>508</v>
      </c>
      <c r="C1288" s="53" t="s">
        <v>506</v>
      </c>
      <c r="D1288" s="53" t="s">
        <v>505</v>
      </c>
      <c r="E1288" s="53" t="s">
        <v>493</v>
      </c>
      <c r="F1288" s="53">
        <v>1.74</v>
      </c>
    </row>
    <row r="1289" spans="1:6">
      <c r="A1289" s="52">
        <v>2</v>
      </c>
      <c r="B1289" s="53" t="s">
        <v>509</v>
      </c>
      <c r="C1289" s="53" t="s">
        <v>506</v>
      </c>
      <c r="D1289" s="53" t="s">
        <v>505</v>
      </c>
      <c r="E1289" s="53" t="s">
        <v>493</v>
      </c>
      <c r="F1289" s="53">
        <v>1.74</v>
      </c>
    </row>
    <row r="1290" spans="1:6">
      <c r="A1290" s="52">
        <v>2</v>
      </c>
      <c r="B1290" s="53" t="s">
        <v>510</v>
      </c>
      <c r="C1290" s="53" t="s">
        <v>503</v>
      </c>
      <c r="D1290" s="53" t="s">
        <v>504</v>
      </c>
      <c r="E1290" s="53" t="s">
        <v>493</v>
      </c>
      <c r="F1290" s="53">
        <v>1.74</v>
      </c>
    </row>
    <row r="1291" spans="1:6">
      <c r="A1291" s="52">
        <v>2</v>
      </c>
      <c r="B1291" s="53" t="s">
        <v>510</v>
      </c>
      <c r="C1291" s="53" t="s">
        <v>503</v>
      </c>
      <c r="D1291" s="53" t="s">
        <v>505</v>
      </c>
      <c r="E1291" s="53" t="s">
        <v>493</v>
      </c>
      <c r="F1291" s="53">
        <v>1.74</v>
      </c>
    </row>
    <row r="1292" spans="1:6">
      <c r="A1292" s="52">
        <v>2</v>
      </c>
      <c r="B1292" s="53" t="s">
        <v>510</v>
      </c>
      <c r="C1292" s="53" t="s">
        <v>506</v>
      </c>
      <c r="D1292" s="53" t="s">
        <v>504</v>
      </c>
      <c r="E1292" s="53" t="s">
        <v>493</v>
      </c>
      <c r="F1292" s="53">
        <v>1.74</v>
      </c>
    </row>
    <row r="1293" spans="1:6">
      <c r="A1293" s="52">
        <v>2</v>
      </c>
      <c r="B1293" s="53" t="s">
        <v>510</v>
      </c>
      <c r="C1293" s="53" t="s">
        <v>506</v>
      </c>
      <c r="D1293" s="53" t="s">
        <v>505</v>
      </c>
      <c r="E1293" s="53" t="s">
        <v>493</v>
      </c>
      <c r="F1293" s="53">
        <v>1.74</v>
      </c>
    </row>
    <row r="1294" spans="1:6">
      <c r="A1294" s="52">
        <v>2</v>
      </c>
      <c r="B1294" s="53" t="s">
        <v>511</v>
      </c>
      <c r="C1294" s="53" t="s">
        <v>503</v>
      </c>
      <c r="D1294" s="53" t="s">
        <v>504</v>
      </c>
      <c r="E1294" s="53" t="s">
        <v>493</v>
      </c>
      <c r="F1294" s="53">
        <v>1.74</v>
      </c>
    </row>
    <row r="1295" spans="1:6">
      <c r="A1295" s="52">
        <v>2</v>
      </c>
      <c r="B1295" s="53" t="s">
        <v>511</v>
      </c>
      <c r="C1295" s="53" t="s">
        <v>503</v>
      </c>
      <c r="D1295" s="53" t="s">
        <v>505</v>
      </c>
      <c r="E1295" s="53" t="s">
        <v>493</v>
      </c>
      <c r="F1295" s="53">
        <v>1.74</v>
      </c>
    </row>
    <row r="1296" spans="1:6">
      <c r="A1296" s="52">
        <v>2</v>
      </c>
      <c r="B1296" s="53" t="s">
        <v>511</v>
      </c>
      <c r="C1296" s="53" t="s">
        <v>506</v>
      </c>
      <c r="D1296" s="53" t="s">
        <v>504</v>
      </c>
      <c r="E1296" s="53" t="s">
        <v>493</v>
      </c>
      <c r="F1296" s="53">
        <v>1.74</v>
      </c>
    </row>
    <row r="1297" spans="1:6">
      <c r="A1297" s="52">
        <v>2</v>
      </c>
      <c r="B1297" s="53" t="s">
        <v>511</v>
      </c>
      <c r="C1297" s="53" t="s">
        <v>506</v>
      </c>
      <c r="D1297" s="53" t="s">
        <v>505</v>
      </c>
      <c r="E1297" s="53" t="s">
        <v>493</v>
      </c>
      <c r="F1297" s="53">
        <v>1.74</v>
      </c>
    </row>
    <row r="1298" spans="1:6">
      <c r="A1298" s="52">
        <v>2</v>
      </c>
      <c r="B1298" s="53" t="s">
        <v>502</v>
      </c>
      <c r="C1298" s="53" t="s">
        <v>503</v>
      </c>
      <c r="D1298" s="53" t="s">
        <v>504</v>
      </c>
      <c r="E1298" s="53" t="s">
        <v>495</v>
      </c>
      <c r="F1298" s="53">
        <v>1.04</v>
      </c>
    </row>
    <row r="1299" spans="1:6">
      <c r="A1299" s="52">
        <v>2</v>
      </c>
      <c r="B1299" s="53" t="s">
        <v>502</v>
      </c>
      <c r="C1299" s="53" t="s">
        <v>506</v>
      </c>
      <c r="D1299" s="53" t="s">
        <v>504</v>
      </c>
      <c r="E1299" s="53" t="s">
        <v>495</v>
      </c>
      <c r="F1299" s="53">
        <v>1.04</v>
      </c>
    </row>
    <row r="1300" spans="1:6">
      <c r="A1300" s="52">
        <v>2</v>
      </c>
      <c r="B1300" s="53" t="s">
        <v>502</v>
      </c>
      <c r="C1300" s="53" t="s">
        <v>503</v>
      </c>
      <c r="D1300" s="53" t="s">
        <v>505</v>
      </c>
      <c r="E1300" s="53" t="s">
        <v>495</v>
      </c>
      <c r="F1300" s="53">
        <v>2.09</v>
      </c>
    </row>
    <row r="1301" spans="1:6">
      <c r="A1301" s="52">
        <v>2</v>
      </c>
      <c r="B1301" s="53" t="s">
        <v>502</v>
      </c>
      <c r="C1301" s="53" t="s">
        <v>506</v>
      </c>
      <c r="D1301" s="53" t="s">
        <v>505</v>
      </c>
      <c r="E1301" s="53" t="s">
        <v>495</v>
      </c>
      <c r="F1301" s="53">
        <v>2.09</v>
      </c>
    </row>
    <row r="1302" spans="1:6">
      <c r="A1302" s="52">
        <v>2</v>
      </c>
      <c r="B1302" s="53" t="s">
        <v>507</v>
      </c>
      <c r="C1302" s="53" t="s">
        <v>503</v>
      </c>
      <c r="D1302" s="53" t="s">
        <v>504</v>
      </c>
      <c r="E1302" s="53" t="s">
        <v>495</v>
      </c>
      <c r="F1302" s="53">
        <v>1.04</v>
      </c>
    </row>
    <row r="1303" spans="1:6">
      <c r="A1303" s="52">
        <v>2</v>
      </c>
      <c r="B1303" s="53" t="s">
        <v>507</v>
      </c>
      <c r="C1303" s="53" t="s">
        <v>506</v>
      </c>
      <c r="D1303" s="53" t="s">
        <v>504</v>
      </c>
      <c r="E1303" s="53" t="s">
        <v>495</v>
      </c>
      <c r="F1303" s="53">
        <v>1.04</v>
      </c>
    </row>
    <row r="1304" spans="1:6">
      <c r="A1304" s="52">
        <v>2</v>
      </c>
      <c r="B1304" s="53" t="s">
        <v>507</v>
      </c>
      <c r="C1304" s="53" t="s">
        <v>503</v>
      </c>
      <c r="D1304" s="53" t="s">
        <v>505</v>
      </c>
      <c r="E1304" s="53" t="s">
        <v>495</v>
      </c>
      <c r="F1304" s="53">
        <v>1.04</v>
      </c>
    </row>
    <row r="1305" spans="1:6">
      <c r="A1305" s="52">
        <v>2</v>
      </c>
      <c r="B1305" s="53" t="s">
        <v>507</v>
      </c>
      <c r="C1305" s="53" t="s">
        <v>506</v>
      </c>
      <c r="D1305" s="53" t="s">
        <v>505</v>
      </c>
      <c r="E1305" s="53" t="s">
        <v>495</v>
      </c>
      <c r="F1305" s="53">
        <v>1.04</v>
      </c>
    </row>
    <row r="1306" spans="1:6">
      <c r="A1306" s="52">
        <v>2</v>
      </c>
      <c r="B1306" s="53" t="s">
        <v>508</v>
      </c>
      <c r="C1306" s="53" t="s">
        <v>503</v>
      </c>
      <c r="D1306" s="53" t="s">
        <v>504</v>
      </c>
      <c r="E1306" s="53" t="s">
        <v>495</v>
      </c>
      <c r="F1306" s="53">
        <v>1.74</v>
      </c>
    </row>
    <row r="1307" spans="1:6">
      <c r="A1307" s="52">
        <v>2</v>
      </c>
      <c r="B1307" s="53" t="s">
        <v>509</v>
      </c>
      <c r="C1307" s="53" t="s">
        <v>503</v>
      </c>
      <c r="D1307" s="53" t="s">
        <v>504</v>
      </c>
      <c r="E1307" s="53" t="s">
        <v>495</v>
      </c>
      <c r="F1307" s="53">
        <v>1.74</v>
      </c>
    </row>
    <row r="1308" spans="1:6">
      <c r="A1308" s="52">
        <v>2</v>
      </c>
      <c r="B1308" s="53" t="s">
        <v>508</v>
      </c>
      <c r="C1308" s="53" t="s">
        <v>506</v>
      </c>
      <c r="D1308" s="53" t="s">
        <v>504</v>
      </c>
      <c r="E1308" s="53" t="s">
        <v>495</v>
      </c>
      <c r="F1308" s="53">
        <v>1.74</v>
      </c>
    </row>
    <row r="1309" spans="1:6">
      <c r="A1309" s="52">
        <v>2</v>
      </c>
      <c r="B1309" s="53" t="s">
        <v>509</v>
      </c>
      <c r="C1309" s="53" t="s">
        <v>506</v>
      </c>
      <c r="D1309" s="53" t="s">
        <v>504</v>
      </c>
      <c r="E1309" s="53" t="s">
        <v>495</v>
      </c>
      <c r="F1309" s="53">
        <v>1.74</v>
      </c>
    </row>
    <row r="1310" spans="1:6">
      <c r="A1310" s="52">
        <v>2</v>
      </c>
      <c r="B1310" s="53" t="s">
        <v>508</v>
      </c>
      <c r="C1310" s="53" t="s">
        <v>503</v>
      </c>
      <c r="D1310" s="53" t="s">
        <v>505</v>
      </c>
      <c r="E1310" s="53" t="s">
        <v>495</v>
      </c>
      <c r="F1310" s="53">
        <v>1.74</v>
      </c>
    </row>
    <row r="1311" spans="1:6">
      <c r="A1311" s="52">
        <v>2</v>
      </c>
      <c r="B1311" s="53" t="s">
        <v>509</v>
      </c>
      <c r="C1311" s="53" t="s">
        <v>503</v>
      </c>
      <c r="D1311" s="53" t="s">
        <v>505</v>
      </c>
      <c r="E1311" s="53" t="s">
        <v>495</v>
      </c>
      <c r="F1311" s="53">
        <v>1.74</v>
      </c>
    </row>
    <row r="1312" spans="1:6">
      <c r="A1312" s="52">
        <v>2</v>
      </c>
      <c r="B1312" s="53" t="s">
        <v>508</v>
      </c>
      <c r="C1312" s="53" t="s">
        <v>506</v>
      </c>
      <c r="D1312" s="53" t="s">
        <v>505</v>
      </c>
      <c r="E1312" s="53" t="s">
        <v>495</v>
      </c>
      <c r="F1312" s="53">
        <v>1.74</v>
      </c>
    </row>
    <row r="1313" spans="1:6">
      <c r="A1313" s="52">
        <v>2</v>
      </c>
      <c r="B1313" s="53" t="s">
        <v>509</v>
      </c>
      <c r="C1313" s="53" t="s">
        <v>506</v>
      </c>
      <c r="D1313" s="53" t="s">
        <v>505</v>
      </c>
      <c r="E1313" s="53" t="s">
        <v>495</v>
      </c>
      <c r="F1313" s="53">
        <v>1.74</v>
      </c>
    </row>
    <row r="1314" spans="1:6">
      <c r="A1314" s="52">
        <v>2</v>
      </c>
      <c r="B1314" s="53" t="s">
        <v>510</v>
      </c>
      <c r="C1314" s="53" t="s">
        <v>503</v>
      </c>
      <c r="D1314" s="53" t="s">
        <v>504</v>
      </c>
      <c r="E1314" s="53" t="s">
        <v>495</v>
      </c>
      <c r="F1314" s="53">
        <v>1.74</v>
      </c>
    </row>
    <row r="1315" spans="1:6">
      <c r="A1315" s="52">
        <v>2</v>
      </c>
      <c r="B1315" s="53" t="s">
        <v>510</v>
      </c>
      <c r="C1315" s="53" t="s">
        <v>503</v>
      </c>
      <c r="D1315" s="53" t="s">
        <v>505</v>
      </c>
      <c r="E1315" s="53" t="s">
        <v>495</v>
      </c>
      <c r="F1315" s="53">
        <v>1.74</v>
      </c>
    </row>
    <row r="1316" spans="1:6">
      <c r="A1316" s="52">
        <v>2</v>
      </c>
      <c r="B1316" s="53" t="s">
        <v>510</v>
      </c>
      <c r="C1316" s="53" t="s">
        <v>506</v>
      </c>
      <c r="D1316" s="53" t="s">
        <v>504</v>
      </c>
      <c r="E1316" s="53" t="s">
        <v>495</v>
      </c>
      <c r="F1316" s="53">
        <v>1.74</v>
      </c>
    </row>
    <row r="1317" spans="1:6">
      <c r="A1317" s="52">
        <v>2</v>
      </c>
      <c r="B1317" s="53" t="s">
        <v>510</v>
      </c>
      <c r="C1317" s="53" t="s">
        <v>506</v>
      </c>
      <c r="D1317" s="53" t="s">
        <v>505</v>
      </c>
      <c r="E1317" s="53" t="s">
        <v>495</v>
      </c>
      <c r="F1317" s="53">
        <v>1.74</v>
      </c>
    </row>
    <row r="1318" spans="1:6">
      <c r="A1318" s="52">
        <v>2</v>
      </c>
      <c r="B1318" s="53" t="s">
        <v>511</v>
      </c>
      <c r="C1318" s="53" t="s">
        <v>503</v>
      </c>
      <c r="D1318" s="53" t="s">
        <v>504</v>
      </c>
      <c r="E1318" s="53" t="s">
        <v>495</v>
      </c>
      <c r="F1318" s="53">
        <v>1.74</v>
      </c>
    </row>
    <row r="1319" spans="1:6">
      <c r="A1319" s="52">
        <v>2</v>
      </c>
      <c r="B1319" s="53" t="s">
        <v>511</v>
      </c>
      <c r="C1319" s="53" t="s">
        <v>503</v>
      </c>
      <c r="D1319" s="53" t="s">
        <v>505</v>
      </c>
      <c r="E1319" s="53" t="s">
        <v>495</v>
      </c>
      <c r="F1319" s="53">
        <v>1.74</v>
      </c>
    </row>
    <row r="1320" spans="1:6">
      <c r="A1320" s="52">
        <v>2</v>
      </c>
      <c r="B1320" s="53" t="s">
        <v>511</v>
      </c>
      <c r="C1320" s="53" t="s">
        <v>506</v>
      </c>
      <c r="D1320" s="53" t="s">
        <v>504</v>
      </c>
      <c r="E1320" s="53" t="s">
        <v>495</v>
      </c>
      <c r="F1320" s="53">
        <v>1.74</v>
      </c>
    </row>
    <row r="1321" spans="1:6">
      <c r="A1321" s="52">
        <v>2</v>
      </c>
      <c r="B1321" s="53" t="s">
        <v>511</v>
      </c>
      <c r="C1321" s="53" t="s">
        <v>506</v>
      </c>
      <c r="D1321" s="53" t="s">
        <v>505</v>
      </c>
      <c r="E1321" s="53" t="s">
        <v>495</v>
      </c>
      <c r="F1321" s="53">
        <v>1.74</v>
      </c>
    </row>
    <row r="1322" spans="1:6">
      <c r="A1322" s="52">
        <v>2</v>
      </c>
      <c r="B1322" s="53" t="s">
        <v>502</v>
      </c>
      <c r="C1322" s="53" t="s">
        <v>503</v>
      </c>
      <c r="D1322" s="53" t="s">
        <v>504</v>
      </c>
      <c r="E1322" s="53" t="s">
        <v>496</v>
      </c>
      <c r="F1322" s="53">
        <v>1.04</v>
      </c>
    </row>
    <row r="1323" spans="1:6">
      <c r="A1323" s="52">
        <v>2</v>
      </c>
      <c r="B1323" s="53" t="s">
        <v>502</v>
      </c>
      <c r="C1323" s="53" t="s">
        <v>506</v>
      </c>
      <c r="D1323" s="53" t="s">
        <v>504</v>
      </c>
      <c r="E1323" s="53" t="s">
        <v>496</v>
      </c>
      <c r="F1323" s="53">
        <v>1.04</v>
      </c>
    </row>
    <row r="1324" spans="1:6">
      <c r="A1324" s="52">
        <v>2</v>
      </c>
      <c r="B1324" s="53" t="s">
        <v>502</v>
      </c>
      <c r="C1324" s="53" t="s">
        <v>503</v>
      </c>
      <c r="D1324" s="53" t="s">
        <v>505</v>
      </c>
      <c r="E1324" s="53" t="s">
        <v>496</v>
      </c>
      <c r="F1324" s="53">
        <v>2.09</v>
      </c>
    </row>
    <row r="1325" spans="1:6">
      <c r="A1325" s="52">
        <v>2</v>
      </c>
      <c r="B1325" s="53" t="s">
        <v>502</v>
      </c>
      <c r="C1325" s="53" t="s">
        <v>506</v>
      </c>
      <c r="D1325" s="53" t="s">
        <v>505</v>
      </c>
      <c r="E1325" s="53" t="s">
        <v>496</v>
      </c>
      <c r="F1325" s="53">
        <v>2.09</v>
      </c>
    </row>
    <row r="1326" spans="1:6">
      <c r="A1326" s="52">
        <v>2</v>
      </c>
      <c r="B1326" s="53" t="s">
        <v>507</v>
      </c>
      <c r="C1326" s="53" t="s">
        <v>503</v>
      </c>
      <c r="D1326" s="53" t="s">
        <v>504</v>
      </c>
      <c r="E1326" s="53" t="s">
        <v>496</v>
      </c>
      <c r="F1326" s="53">
        <v>1.04</v>
      </c>
    </row>
    <row r="1327" spans="1:6">
      <c r="A1327" s="52">
        <v>2</v>
      </c>
      <c r="B1327" s="53" t="s">
        <v>507</v>
      </c>
      <c r="C1327" s="53" t="s">
        <v>506</v>
      </c>
      <c r="D1327" s="53" t="s">
        <v>504</v>
      </c>
      <c r="E1327" s="53" t="s">
        <v>496</v>
      </c>
      <c r="F1327" s="53">
        <v>1.04</v>
      </c>
    </row>
    <row r="1328" spans="1:6">
      <c r="A1328" s="52">
        <v>2</v>
      </c>
      <c r="B1328" s="53" t="s">
        <v>507</v>
      </c>
      <c r="C1328" s="53" t="s">
        <v>503</v>
      </c>
      <c r="D1328" s="53" t="s">
        <v>505</v>
      </c>
      <c r="E1328" s="53" t="s">
        <v>496</v>
      </c>
      <c r="F1328" s="53">
        <v>1.04</v>
      </c>
    </row>
    <row r="1329" spans="1:6">
      <c r="A1329" s="52">
        <v>2</v>
      </c>
      <c r="B1329" s="53" t="s">
        <v>507</v>
      </c>
      <c r="C1329" s="53" t="s">
        <v>506</v>
      </c>
      <c r="D1329" s="53" t="s">
        <v>505</v>
      </c>
      <c r="E1329" s="53" t="s">
        <v>496</v>
      </c>
      <c r="F1329" s="53">
        <v>1.04</v>
      </c>
    </row>
    <row r="1330" spans="1:6">
      <c r="A1330" s="52">
        <v>2</v>
      </c>
      <c r="B1330" s="53" t="s">
        <v>508</v>
      </c>
      <c r="C1330" s="53" t="s">
        <v>503</v>
      </c>
      <c r="D1330" s="53" t="s">
        <v>504</v>
      </c>
      <c r="E1330" s="53" t="s">
        <v>496</v>
      </c>
      <c r="F1330" s="53">
        <v>1.74</v>
      </c>
    </row>
    <row r="1331" spans="1:6">
      <c r="A1331" s="52">
        <v>2</v>
      </c>
      <c r="B1331" s="53" t="s">
        <v>509</v>
      </c>
      <c r="C1331" s="53" t="s">
        <v>503</v>
      </c>
      <c r="D1331" s="53" t="s">
        <v>504</v>
      </c>
      <c r="E1331" s="53" t="s">
        <v>496</v>
      </c>
      <c r="F1331" s="53">
        <v>1.74</v>
      </c>
    </row>
    <row r="1332" spans="1:6">
      <c r="A1332" s="52">
        <v>2</v>
      </c>
      <c r="B1332" s="53" t="s">
        <v>508</v>
      </c>
      <c r="C1332" s="53" t="s">
        <v>506</v>
      </c>
      <c r="D1332" s="53" t="s">
        <v>504</v>
      </c>
      <c r="E1332" s="53" t="s">
        <v>496</v>
      </c>
      <c r="F1332" s="53">
        <v>1.74</v>
      </c>
    </row>
    <row r="1333" spans="1:6">
      <c r="A1333" s="52">
        <v>2</v>
      </c>
      <c r="B1333" s="53" t="s">
        <v>509</v>
      </c>
      <c r="C1333" s="53" t="s">
        <v>506</v>
      </c>
      <c r="D1333" s="53" t="s">
        <v>504</v>
      </c>
      <c r="E1333" s="53" t="s">
        <v>496</v>
      </c>
      <c r="F1333" s="53">
        <v>1.74</v>
      </c>
    </row>
    <row r="1334" spans="1:6">
      <c r="A1334" s="52">
        <v>2</v>
      </c>
      <c r="B1334" s="53" t="s">
        <v>508</v>
      </c>
      <c r="C1334" s="53" t="s">
        <v>503</v>
      </c>
      <c r="D1334" s="53" t="s">
        <v>505</v>
      </c>
      <c r="E1334" s="53" t="s">
        <v>496</v>
      </c>
      <c r="F1334" s="53">
        <v>1.74</v>
      </c>
    </row>
    <row r="1335" spans="1:6">
      <c r="A1335" s="52">
        <v>2</v>
      </c>
      <c r="B1335" s="53" t="s">
        <v>509</v>
      </c>
      <c r="C1335" s="53" t="s">
        <v>503</v>
      </c>
      <c r="D1335" s="53" t="s">
        <v>505</v>
      </c>
      <c r="E1335" s="53" t="s">
        <v>496</v>
      </c>
      <c r="F1335" s="53">
        <v>1.74</v>
      </c>
    </row>
    <row r="1336" spans="1:6">
      <c r="A1336" s="52">
        <v>2</v>
      </c>
      <c r="B1336" s="53" t="s">
        <v>508</v>
      </c>
      <c r="C1336" s="53" t="s">
        <v>506</v>
      </c>
      <c r="D1336" s="53" t="s">
        <v>505</v>
      </c>
      <c r="E1336" s="53" t="s">
        <v>496</v>
      </c>
      <c r="F1336" s="53">
        <v>1.74</v>
      </c>
    </row>
    <row r="1337" spans="1:6">
      <c r="A1337" s="52">
        <v>2</v>
      </c>
      <c r="B1337" s="53" t="s">
        <v>509</v>
      </c>
      <c r="C1337" s="53" t="s">
        <v>506</v>
      </c>
      <c r="D1337" s="53" t="s">
        <v>505</v>
      </c>
      <c r="E1337" s="53" t="s">
        <v>496</v>
      </c>
      <c r="F1337" s="53">
        <v>1.74</v>
      </c>
    </row>
    <row r="1338" spans="1:6">
      <c r="A1338" s="52">
        <v>2</v>
      </c>
      <c r="B1338" s="53" t="s">
        <v>510</v>
      </c>
      <c r="C1338" s="53" t="s">
        <v>503</v>
      </c>
      <c r="D1338" s="53" t="s">
        <v>504</v>
      </c>
      <c r="E1338" s="53" t="s">
        <v>496</v>
      </c>
      <c r="F1338" s="53">
        <v>1.74</v>
      </c>
    </row>
    <row r="1339" spans="1:6">
      <c r="A1339" s="52">
        <v>2</v>
      </c>
      <c r="B1339" s="53" t="s">
        <v>510</v>
      </c>
      <c r="C1339" s="53" t="s">
        <v>503</v>
      </c>
      <c r="D1339" s="53" t="s">
        <v>505</v>
      </c>
      <c r="E1339" s="53" t="s">
        <v>496</v>
      </c>
      <c r="F1339" s="53">
        <v>1.74</v>
      </c>
    </row>
    <row r="1340" spans="1:6">
      <c r="A1340" s="52">
        <v>2</v>
      </c>
      <c r="B1340" s="53" t="s">
        <v>510</v>
      </c>
      <c r="C1340" s="53" t="s">
        <v>506</v>
      </c>
      <c r="D1340" s="53" t="s">
        <v>504</v>
      </c>
      <c r="E1340" s="53" t="s">
        <v>496</v>
      </c>
      <c r="F1340" s="53">
        <v>1.74</v>
      </c>
    </row>
    <row r="1341" spans="1:6">
      <c r="A1341" s="52">
        <v>2</v>
      </c>
      <c r="B1341" s="53" t="s">
        <v>510</v>
      </c>
      <c r="C1341" s="53" t="s">
        <v>506</v>
      </c>
      <c r="D1341" s="53" t="s">
        <v>505</v>
      </c>
      <c r="E1341" s="53" t="s">
        <v>496</v>
      </c>
      <c r="F1341" s="53">
        <v>1.74</v>
      </c>
    </row>
    <row r="1342" spans="1:6">
      <c r="A1342" s="52">
        <v>2</v>
      </c>
      <c r="B1342" s="53" t="s">
        <v>511</v>
      </c>
      <c r="C1342" s="53" t="s">
        <v>503</v>
      </c>
      <c r="D1342" s="53" t="s">
        <v>504</v>
      </c>
      <c r="E1342" s="53" t="s">
        <v>496</v>
      </c>
      <c r="F1342" s="53">
        <v>1.74</v>
      </c>
    </row>
    <row r="1343" spans="1:6">
      <c r="A1343" s="52">
        <v>2</v>
      </c>
      <c r="B1343" s="53" t="s">
        <v>511</v>
      </c>
      <c r="C1343" s="53" t="s">
        <v>503</v>
      </c>
      <c r="D1343" s="53" t="s">
        <v>505</v>
      </c>
      <c r="E1343" s="53" t="s">
        <v>496</v>
      </c>
      <c r="F1343" s="53">
        <v>1.74</v>
      </c>
    </row>
    <row r="1344" spans="1:6">
      <c r="A1344" s="52">
        <v>2</v>
      </c>
      <c r="B1344" s="53" t="s">
        <v>511</v>
      </c>
      <c r="C1344" s="53" t="s">
        <v>506</v>
      </c>
      <c r="D1344" s="53" t="s">
        <v>504</v>
      </c>
      <c r="E1344" s="53" t="s">
        <v>496</v>
      </c>
      <c r="F1344" s="53">
        <v>1.74</v>
      </c>
    </row>
    <row r="1345" spans="1:6">
      <c r="A1345" s="52">
        <v>2</v>
      </c>
      <c r="B1345" s="53" t="s">
        <v>511</v>
      </c>
      <c r="C1345" s="53" t="s">
        <v>506</v>
      </c>
      <c r="D1345" s="53" t="s">
        <v>505</v>
      </c>
      <c r="E1345" s="53" t="s">
        <v>496</v>
      </c>
      <c r="F1345" s="53">
        <v>1.74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DA18-4FFC-4E7A-9A6D-9B0161038E8F}">
  <dimension ref="A1:M23"/>
  <sheetViews>
    <sheetView workbookViewId="0">
      <selection activeCell="J37" sqref="J37"/>
    </sheetView>
  </sheetViews>
  <sheetFormatPr defaultRowHeight="16.5"/>
  <cols>
    <col min="1" max="1" width="19.42578125" style="54" bestFit="1" customWidth="1"/>
    <col min="2" max="5" width="15.140625" style="54" bestFit="1" customWidth="1"/>
    <col min="6" max="6" width="17.5703125" style="54" bestFit="1" customWidth="1"/>
    <col min="7" max="7" width="12.7109375" style="54" bestFit="1" customWidth="1"/>
    <col min="8" max="8" width="10.28515625" style="54" bestFit="1" customWidth="1"/>
    <col min="9" max="9" width="11.42578125" style="54" bestFit="1" customWidth="1"/>
    <col min="10" max="12" width="15.140625" style="54" bestFit="1" customWidth="1"/>
    <col min="13" max="13" width="10.28515625" style="54" bestFit="1" customWidth="1"/>
    <col min="14" max="16384" width="9.140625" style="54"/>
  </cols>
  <sheetData>
    <row r="1" spans="1:13">
      <c r="A1" s="20" t="s">
        <v>461</v>
      </c>
      <c r="B1" s="20" t="s">
        <v>512</v>
      </c>
      <c r="C1" s="20" t="s">
        <v>513</v>
      </c>
      <c r="D1" s="20" t="s">
        <v>514</v>
      </c>
      <c r="E1" s="20" t="s">
        <v>515</v>
      </c>
      <c r="F1" s="20" t="s">
        <v>516</v>
      </c>
      <c r="G1" s="20" t="s">
        <v>517</v>
      </c>
      <c r="H1" s="20" t="s">
        <v>518</v>
      </c>
      <c r="I1" s="20" t="s">
        <v>519</v>
      </c>
      <c r="J1" s="20" t="s">
        <v>520</v>
      </c>
      <c r="K1" s="20" t="s">
        <v>521</v>
      </c>
      <c r="L1" s="20" t="s">
        <v>522</v>
      </c>
      <c r="M1" s="20" t="s">
        <v>523</v>
      </c>
    </row>
    <row r="2" spans="1:13">
      <c r="B2" s="54" t="s">
        <v>524</v>
      </c>
      <c r="C2" s="54" t="s">
        <v>524</v>
      </c>
      <c r="D2" s="54" t="s">
        <v>524</v>
      </c>
      <c r="E2" s="54" t="s">
        <v>524</v>
      </c>
      <c r="F2" s="54" t="s">
        <v>525</v>
      </c>
      <c r="G2" s="54" t="s">
        <v>526</v>
      </c>
      <c r="H2" s="54" t="s">
        <v>527</v>
      </c>
      <c r="I2" s="54" t="s">
        <v>528</v>
      </c>
      <c r="J2" s="54" t="s">
        <v>526</v>
      </c>
      <c r="K2" s="54" t="s">
        <v>529</v>
      </c>
      <c r="L2" s="54" t="s">
        <v>530</v>
      </c>
      <c r="M2" s="54" t="s">
        <v>531</v>
      </c>
    </row>
    <row r="3" spans="1:13">
      <c r="A3" s="54" t="s">
        <v>167</v>
      </c>
      <c r="B3" s="54" t="s">
        <v>532</v>
      </c>
      <c r="C3" s="54" t="s">
        <v>533</v>
      </c>
      <c r="D3" s="54" t="s">
        <v>532</v>
      </c>
      <c r="E3" s="54" t="s">
        <v>533</v>
      </c>
      <c r="F3" s="54">
        <v>1.1000000000000001</v>
      </c>
      <c r="G3" s="54">
        <v>84</v>
      </c>
      <c r="H3" s="54">
        <v>5</v>
      </c>
      <c r="I3" s="54">
        <v>53</v>
      </c>
      <c r="J3" s="54">
        <v>52</v>
      </c>
      <c r="K3" s="54">
        <v>20</v>
      </c>
      <c r="L3" s="54">
        <v>26</v>
      </c>
      <c r="M3" s="54">
        <v>24</v>
      </c>
    </row>
    <row r="4" spans="1:13">
      <c r="A4" s="54" t="s">
        <v>17</v>
      </c>
      <c r="B4" s="54" t="s">
        <v>534</v>
      </c>
      <c r="C4" s="54" t="s">
        <v>535</v>
      </c>
      <c r="D4" s="54" t="s">
        <v>536</v>
      </c>
      <c r="E4" s="54" t="s">
        <v>535</v>
      </c>
      <c r="F4" s="54">
        <v>4</v>
      </c>
      <c r="G4" s="54">
        <v>30</v>
      </c>
      <c r="H4" s="54">
        <v>6</v>
      </c>
      <c r="I4" s="54">
        <v>30</v>
      </c>
      <c r="J4" s="54">
        <v>42</v>
      </c>
      <c r="K4" s="54">
        <v>20</v>
      </c>
      <c r="L4" s="54">
        <v>26</v>
      </c>
      <c r="M4" s="54">
        <v>9</v>
      </c>
    </row>
    <row r="5" spans="1:13">
      <c r="A5" s="54" t="s">
        <v>182</v>
      </c>
      <c r="B5" s="54" t="s">
        <v>534</v>
      </c>
      <c r="C5" s="54" t="s">
        <v>535</v>
      </c>
      <c r="D5" s="54" t="s">
        <v>536</v>
      </c>
      <c r="E5" s="54" t="s">
        <v>535</v>
      </c>
      <c r="F5" s="54">
        <v>6</v>
      </c>
      <c r="G5" s="54">
        <v>30</v>
      </c>
      <c r="H5" s="54">
        <v>9</v>
      </c>
      <c r="I5" s="54">
        <v>55.8</v>
      </c>
      <c r="J5" s="54">
        <v>126</v>
      </c>
      <c r="K5" s="54">
        <v>20</v>
      </c>
      <c r="L5" s="54">
        <v>26</v>
      </c>
      <c r="M5" s="54">
        <v>9</v>
      </c>
    </row>
    <row r="6" spans="1:13">
      <c r="A6" s="54" t="s">
        <v>537</v>
      </c>
      <c r="B6" s="54" t="s">
        <v>536</v>
      </c>
      <c r="C6" s="54" t="s">
        <v>535</v>
      </c>
      <c r="D6" s="54" t="s">
        <v>536</v>
      </c>
      <c r="E6" s="54" t="s">
        <v>535</v>
      </c>
      <c r="F6" s="54">
        <v>15</v>
      </c>
      <c r="G6" s="54">
        <v>30</v>
      </c>
      <c r="H6" s="54">
        <v>11</v>
      </c>
      <c r="I6" s="54">
        <v>96</v>
      </c>
      <c r="J6" s="54">
        <v>8</v>
      </c>
      <c r="K6" s="54">
        <v>20</v>
      </c>
      <c r="L6" s="54">
        <v>26</v>
      </c>
      <c r="M6" s="54">
        <v>11</v>
      </c>
    </row>
    <row r="7" spans="1:13">
      <c r="A7" s="54" t="s">
        <v>192</v>
      </c>
      <c r="B7" s="54" t="s">
        <v>536</v>
      </c>
      <c r="C7" s="54" t="s">
        <v>535</v>
      </c>
      <c r="D7" s="54" t="s">
        <v>536</v>
      </c>
      <c r="E7" s="54" t="s">
        <v>535</v>
      </c>
      <c r="F7" s="54">
        <v>2</v>
      </c>
      <c r="G7" s="54">
        <v>30</v>
      </c>
      <c r="H7" s="54">
        <v>11</v>
      </c>
      <c r="I7" s="54">
        <v>36</v>
      </c>
      <c r="J7" s="54">
        <v>24</v>
      </c>
      <c r="K7" s="54">
        <v>20</v>
      </c>
      <c r="L7" s="54">
        <v>26</v>
      </c>
      <c r="M7" s="54">
        <v>11</v>
      </c>
    </row>
    <row r="8" spans="1:13">
      <c r="A8" s="54" t="s">
        <v>195</v>
      </c>
      <c r="B8" s="54" t="s">
        <v>538</v>
      </c>
      <c r="C8" s="54" t="s">
        <v>539</v>
      </c>
      <c r="D8" s="54" t="s">
        <v>538</v>
      </c>
      <c r="E8" s="54" t="s">
        <v>539</v>
      </c>
      <c r="F8" s="54">
        <v>18</v>
      </c>
      <c r="G8" s="54">
        <v>1250</v>
      </c>
      <c r="H8" s="54">
        <v>7</v>
      </c>
      <c r="I8" s="54">
        <v>177</v>
      </c>
      <c r="J8" s="54">
        <v>10</v>
      </c>
      <c r="K8" s="54">
        <v>20</v>
      </c>
      <c r="L8" s="54">
        <v>26</v>
      </c>
      <c r="M8" s="54">
        <v>7</v>
      </c>
    </row>
    <row r="9" spans="1:13">
      <c r="A9" s="54" t="s">
        <v>21</v>
      </c>
      <c r="B9" s="54" t="s">
        <v>536</v>
      </c>
      <c r="C9" s="54" t="s">
        <v>535</v>
      </c>
      <c r="D9" s="54" t="s">
        <v>536</v>
      </c>
      <c r="E9" s="54" t="s">
        <v>535</v>
      </c>
      <c r="F9" s="54">
        <v>15</v>
      </c>
      <c r="G9" s="54">
        <v>0</v>
      </c>
      <c r="H9" s="54">
        <v>11</v>
      </c>
      <c r="I9" s="54">
        <v>0</v>
      </c>
      <c r="J9" s="54">
        <v>0</v>
      </c>
      <c r="K9" s="54">
        <v>20</v>
      </c>
      <c r="L9" s="54">
        <v>26</v>
      </c>
      <c r="M9" s="54">
        <v>11</v>
      </c>
    </row>
    <row r="10" spans="1:13">
      <c r="A10" s="54" t="s">
        <v>198</v>
      </c>
      <c r="B10" s="54" t="s">
        <v>536</v>
      </c>
      <c r="C10" s="54" t="s">
        <v>535</v>
      </c>
      <c r="D10" s="54" t="s">
        <v>536</v>
      </c>
      <c r="E10" s="54" t="s">
        <v>535</v>
      </c>
      <c r="F10" s="54">
        <v>7</v>
      </c>
      <c r="G10" s="54">
        <v>30</v>
      </c>
      <c r="H10" s="54">
        <v>11</v>
      </c>
      <c r="I10" s="54">
        <v>96</v>
      </c>
      <c r="J10" s="54">
        <v>8</v>
      </c>
      <c r="K10" s="54">
        <v>20</v>
      </c>
      <c r="L10" s="54">
        <v>26</v>
      </c>
      <c r="M10" s="54">
        <v>11</v>
      </c>
    </row>
    <row r="11" spans="1:13">
      <c r="A11" s="54" t="s">
        <v>22</v>
      </c>
      <c r="B11" s="54" t="s">
        <v>536</v>
      </c>
      <c r="C11" s="54" t="s">
        <v>535</v>
      </c>
      <c r="D11" s="54" t="s">
        <v>536</v>
      </c>
      <c r="E11" s="54" t="s">
        <v>535</v>
      </c>
      <c r="F11" s="54">
        <v>0.15</v>
      </c>
      <c r="G11" s="54">
        <v>0</v>
      </c>
      <c r="H11" s="54">
        <v>11</v>
      </c>
      <c r="I11" s="54">
        <v>0</v>
      </c>
      <c r="J11" s="54">
        <v>0</v>
      </c>
      <c r="K11" s="54">
        <v>20</v>
      </c>
      <c r="L11" s="54">
        <v>26</v>
      </c>
      <c r="M11" s="54">
        <v>11</v>
      </c>
    </row>
    <row r="12" spans="1:13">
      <c r="A12" s="54" t="s">
        <v>19</v>
      </c>
      <c r="B12" s="54" t="s">
        <v>536</v>
      </c>
      <c r="C12" s="54" t="s">
        <v>535</v>
      </c>
      <c r="D12" s="54" t="s">
        <v>536</v>
      </c>
      <c r="E12" s="54" t="s">
        <v>535</v>
      </c>
      <c r="F12" s="54">
        <v>0.15</v>
      </c>
      <c r="G12" s="54">
        <v>0</v>
      </c>
      <c r="H12" s="54">
        <v>11</v>
      </c>
      <c r="I12" s="54">
        <v>0</v>
      </c>
      <c r="J12" s="54">
        <v>0</v>
      </c>
      <c r="K12" s="54">
        <v>20</v>
      </c>
      <c r="L12" s="54">
        <v>26</v>
      </c>
      <c r="M12" s="54">
        <v>11</v>
      </c>
    </row>
    <row r="13" spans="1:13">
      <c r="A13" s="54" t="s">
        <v>202</v>
      </c>
      <c r="B13" s="54" t="s">
        <v>532</v>
      </c>
      <c r="C13" s="54" t="s">
        <v>533</v>
      </c>
      <c r="D13" s="54" t="s">
        <v>532</v>
      </c>
      <c r="E13" s="54" t="s">
        <v>533</v>
      </c>
      <c r="F13" s="54">
        <v>1.3</v>
      </c>
      <c r="G13" s="54">
        <v>30</v>
      </c>
      <c r="H13" s="54">
        <v>12</v>
      </c>
      <c r="I13" s="54">
        <v>15</v>
      </c>
      <c r="J13" s="54">
        <v>1800</v>
      </c>
      <c r="K13" s="54">
        <v>20</v>
      </c>
      <c r="L13" s="54">
        <v>26</v>
      </c>
      <c r="M13" s="54">
        <v>24</v>
      </c>
    </row>
    <row r="14" spans="1:13">
      <c r="A14" s="54" t="s">
        <v>20</v>
      </c>
      <c r="B14" s="54" t="s">
        <v>538</v>
      </c>
      <c r="C14" s="54" t="s">
        <v>539</v>
      </c>
      <c r="D14" s="54" t="s">
        <v>538</v>
      </c>
      <c r="E14" s="54" t="s">
        <v>539</v>
      </c>
      <c r="F14" s="54">
        <v>90</v>
      </c>
      <c r="G14" s="54">
        <v>0</v>
      </c>
      <c r="H14" s="54">
        <v>7</v>
      </c>
      <c r="I14" s="54">
        <v>56</v>
      </c>
      <c r="J14" s="54">
        <v>1800</v>
      </c>
      <c r="K14" s="54">
        <v>20</v>
      </c>
      <c r="L14" s="54">
        <v>26</v>
      </c>
      <c r="M14" s="54">
        <v>7</v>
      </c>
    </row>
    <row r="15" spans="1:13">
      <c r="A15" s="54" t="s">
        <v>205</v>
      </c>
      <c r="B15" s="54" t="s">
        <v>532</v>
      </c>
      <c r="C15" s="54" t="s">
        <v>533</v>
      </c>
      <c r="D15" s="54" t="s">
        <v>532</v>
      </c>
      <c r="E15" s="54" t="s">
        <v>533</v>
      </c>
      <c r="F15" s="54">
        <v>4</v>
      </c>
      <c r="G15" s="54">
        <v>82</v>
      </c>
      <c r="H15" s="54">
        <v>12</v>
      </c>
      <c r="I15" s="54">
        <v>108</v>
      </c>
      <c r="J15" s="54">
        <v>24</v>
      </c>
      <c r="K15" s="54">
        <v>20</v>
      </c>
      <c r="L15" s="54">
        <v>26</v>
      </c>
      <c r="M15" s="54">
        <v>24</v>
      </c>
    </row>
    <row r="16" spans="1:13">
      <c r="A16" s="54" t="s">
        <v>207</v>
      </c>
      <c r="B16" s="54" t="s">
        <v>540</v>
      </c>
      <c r="C16" s="54" t="s">
        <v>538</v>
      </c>
      <c r="D16" s="54" t="s">
        <v>540</v>
      </c>
      <c r="E16" s="54" t="s">
        <v>538</v>
      </c>
      <c r="F16" s="54">
        <v>3</v>
      </c>
      <c r="G16" s="54">
        <v>82</v>
      </c>
      <c r="H16" s="54">
        <v>4</v>
      </c>
      <c r="I16" s="54">
        <v>70</v>
      </c>
      <c r="J16" s="54">
        <v>44</v>
      </c>
      <c r="K16" s="54">
        <v>20</v>
      </c>
      <c r="L16" s="54">
        <v>26</v>
      </c>
      <c r="M16" s="54">
        <v>11</v>
      </c>
    </row>
    <row r="17" spans="1:13">
      <c r="A17" s="54" t="s">
        <v>23</v>
      </c>
      <c r="B17" s="54" t="s">
        <v>538</v>
      </c>
      <c r="C17" s="54" t="s">
        <v>539</v>
      </c>
      <c r="D17" s="54" t="s">
        <v>538</v>
      </c>
      <c r="E17" s="54" t="s">
        <v>539</v>
      </c>
      <c r="F17" s="54">
        <v>10</v>
      </c>
      <c r="G17" s="54">
        <v>30</v>
      </c>
      <c r="H17" s="54">
        <v>6</v>
      </c>
      <c r="I17" s="54">
        <v>100</v>
      </c>
      <c r="J17" s="54">
        <v>20</v>
      </c>
      <c r="K17" s="54">
        <v>20</v>
      </c>
      <c r="L17" s="54">
        <v>26</v>
      </c>
      <c r="M17" s="54">
        <v>7</v>
      </c>
    </row>
    <row r="18" spans="1:13">
      <c r="A18" s="54" t="s">
        <v>541</v>
      </c>
      <c r="B18" s="54" t="s">
        <v>538</v>
      </c>
      <c r="C18" s="54" t="s">
        <v>539</v>
      </c>
      <c r="D18" s="54" t="s">
        <v>538</v>
      </c>
      <c r="E18" s="54" t="s">
        <v>539</v>
      </c>
      <c r="F18" s="54">
        <v>10</v>
      </c>
      <c r="G18" s="54">
        <v>30</v>
      </c>
      <c r="H18" s="54">
        <v>6</v>
      </c>
      <c r="I18" s="54">
        <v>100</v>
      </c>
      <c r="J18" s="54">
        <v>20</v>
      </c>
      <c r="K18" s="54">
        <v>20</v>
      </c>
      <c r="L18" s="54">
        <v>26</v>
      </c>
      <c r="M18" s="54">
        <v>7</v>
      </c>
    </row>
    <row r="19" spans="1:13">
      <c r="A19" s="54" t="s">
        <v>542</v>
      </c>
      <c r="B19" s="54" t="s">
        <v>534</v>
      </c>
      <c r="C19" s="54" t="s">
        <v>535</v>
      </c>
      <c r="D19" s="54" t="s">
        <v>534</v>
      </c>
      <c r="E19" s="54" t="s">
        <v>535</v>
      </c>
      <c r="F19" s="54">
        <v>30</v>
      </c>
      <c r="G19" s="54">
        <v>30</v>
      </c>
      <c r="H19" s="54">
        <v>6</v>
      </c>
      <c r="I19" s="54">
        <v>420</v>
      </c>
      <c r="J19" s="54">
        <v>24</v>
      </c>
      <c r="K19" s="54">
        <v>20</v>
      </c>
      <c r="L19" s="54">
        <v>26</v>
      </c>
      <c r="M19" s="54">
        <v>9</v>
      </c>
    </row>
    <row r="20" spans="1:13">
      <c r="A20" s="54" t="s">
        <v>543</v>
      </c>
      <c r="B20" s="54" t="s">
        <v>538</v>
      </c>
      <c r="C20" s="54" t="s">
        <v>544</v>
      </c>
      <c r="D20" s="54" t="s">
        <v>538</v>
      </c>
      <c r="E20" s="54" t="s">
        <v>544</v>
      </c>
      <c r="F20" s="54">
        <v>4</v>
      </c>
      <c r="G20" s="54">
        <v>30</v>
      </c>
      <c r="H20" s="54">
        <v>12</v>
      </c>
      <c r="I20" s="54">
        <v>84</v>
      </c>
      <c r="J20" s="54">
        <v>24</v>
      </c>
      <c r="K20" s="54">
        <v>20</v>
      </c>
      <c r="L20" s="54">
        <v>26</v>
      </c>
      <c r="M20" s="54">
        <v>12</v>
      </c>
    </row>
    <row r="21" spans="1:13">
      <c r="A21" s="54" t="s">
        <v>545</v>
      </c>
      <c r="B21" s="54" t="s">
        <v>546</v>
      </c>
      <c r="C21" s="54" t="s">
        <v>535</v>
      </c>
      <c r="D21" s="54" t="s">
        <v>546</v>
      </c>
      <c r="E21" s="54" t="s">
        <v>535</v>
      </c>
      <c r="F21" s="54">
        <v>2</v>
      </c>
      <c r="G21" s="54">
        <v>30</v>
      </c>
      <c r="H21" s="54">
        <v>8</v>
      </c>
      <c r="I21" s="54">
        <v>28</v>
      </c>
      <c r="J21" s="54">
        <v>0</v>
      </c>
      <c r="K21" s="54">
        <v>20</v>
      </c>
      <c r="L21" s="54">
        <v>26</v>
      </c>
      <c r="M21" s="54">
        <v>8</v>
      </c>
    </row>
    <row r="22" spans="1:13">
      <c r="A22" s="54" t="s">
        <v>547</v>
      </c>
      <c r="B22" s="54" t="s">
        <v>538</v>
      </c>
      <c r="C22" s="54" t="s">
        <v>544</v>
      </c>
      <c r="D22" s="54" t="s">
        <v>538</v>
      </c>
      <c r="E22" s="54" t="s">
        <v>544</v>
      </c>
      <c r="F22" s="54">
        <v>8</v>
      </c>
      <c r="G22" s="54">
        <v>30</v>
      </c>
      <c r="H22" s="54">
        <v>12</v>
      </c>
      <c r="I22" s="54">
        <v>168</v>
      </c>
      <c r="J22" s="54">
        <v>0</v>
      </c>
      <c r="K22" s="54">
        <v>20</v>
      </c>
      <c r="L22" s="54">
        <v>26</v>
      </c>
      <c r="M22" s="54">
        <v>12</v>
      </c>
    </row>
    <row r="23" spans="1:13">
      <c r="A23" s="54" t="s">
        <v>214</v>
      </c>
      <c r="B23" s="54" t="s">
        <v>538</v>
      </c>
      <c r="C23" s="54" t="s">
        <v>548</v>
      </c>
      <c r="D23" s="54" t="s">
        <v>538</v>
      </c>
      <c r="E23" s="54" t="s">
        <v>548</v>
      </c>
      <c r="F23" s="54">
        <v>3</v>
      </c>
      <c r="G23" s="54">
        <v>220</v>
      </c>
      <c r="H23" s="54">
        <v>15</v>
      </c>
      <c r="I23" s="54">
        <v>60</v>
      </c>
      <c r="J23" s="54">
        <v>0</v>
      </c>
      <c r="K23" s="54">
        <v>20</v>
      </c>
      <c r="L23" s="54">
        <v>26</v>
      </c>
      <c r="M23" s="54">
        <v>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건물정보</vt:lpstr>
      <vt:lpstr>실</vt:lpstr>
      <vt:lpstr>면</vt:lpstr>
      <vt:lpstr>개구부</vt:lpstr>
      <vt:lpstr>구조체_면</vt:lpstr>
      <vt:lpstr>구조체_개구부</vt:lpstr>
      <vt:lpstr>용도프로필</vt:lpstr>
      <vt:lpstr>공급설비</vt:lpstr>
      <vt:lpstr>생산설비</vt:lpstr>
      <vt:lpstr>환기설비</vt:lpstr>
      <vt:lpstr>PV패널</vt:lpstr>
      <vt:lpstr>재료</vt:lpstr>
      <vt:lpstr>참조</vt:lpstr>
      <vt:lpstr>용도프로필 참조DB</vt:lpstr>
      <vt:lpstr>행정구역DB</vt:lpstr>
      <vt:lpstr>열관류율DB</vt:lpstr>
      <vt:lpstr>용도프로필DB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이승주</cp:lastModifiedBy>
  <dcterms:created xsi:type="dcterms:W3CDTF">2025-06-20T01:00:50Z</dcterms:created>
  <dcterms:modified xsi:type="dcterms:W3CDTF">2026-08-31T05:48:34Z</dcterms:modified>
</cp:coreProperties>
</file>